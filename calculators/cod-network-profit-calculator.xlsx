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tor" sheetId="1" state="visible" r:id="rId3"/>
    <sheet name="Compare Products" sheetId="2" state="visible" r:id="rId4"/>
    <sheet name="COD Network Fe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<sst xmlns="http://schemas.openxmlformats.org/spreadsheetml/2006/main" count="296" uniqueCount="219">
  <si>
    <t xml:space="preserve">COD Profit Calculator - COD Network</t>
  </si>
  <si>
    <t xml:space="preserve">Fill in the YELLOW cells only (blue text). Everything else is calculated. Fees come from the 'COD Network Fees' tab.</t>
  </si>
  <si>
    <t xml:space="preserve">1. INPUTS</t>
  </si>
  <si>
    <t xml:space="preserve">2. OFFERS - price per order and share of orders for each offer</t>
  </si>
  <si>
    <t xml:space="preserve">Market (country)</t>
  </si>
  <si>
    <t xml:space="preserve">Morocco</t>
  </si>
  <si>
    <t xml:space="preserve">Pick from the list</t>
  </si>
  <si>
    <t xml:space="preserve">Enter the price the customer pays per order and the % of orders that choose each offer. Free units are counted as product cost. Profit columns = "if every order took this offer".</t>
  </si>
  <si>
    <t xml:space="preserve">Helper per offer (do not edit)</t>
  </si>
  <si>
    <t xml:space="preserve">Product category</t>
  </si>
  <si>
    <t xml:space="preserve">Gadget</t>
  </si>
  <si>
    <t xml:space="preserve">Gadget or Cosmetic (changes call-center fees in GCC)</t>
  </si>
  <si>
    <t xml:space="preserve">Offer</t>
  </si>
  <si>
    <t xml:space="preserve">Paid units</t>
  </si>
  <si>
    <t xml:space="preserve">Free units</t>
  </si>
  <si>
    <t xml:space="preserve">Units per order</t>
  </si>
  <si>
    <t xml:space="preserve">Price per order</t>
  </si>
  <si>
    <t xml:space="preserve">% of orders</t>
  </si>
  <si>
    <t xml:space="preserve">Product cost per order</t>
  </si>
  <si>
    <t xml:space="preserve">Net profit per delivered order</t>
  </si>
  <si>
    <t xml:space="preserve">Net profit (if all orders)</t>
  </si>
  <si>
    <t xml:space="preserve">Break-even cost per lead</t>
  </si>
  <si>
    <t xml:space="preserve">Overweight / order</t>
  </si>
  <si>
    <t xml:space="preserve">alpha</t>
  </si>
  <si>
    <t xml:space="preserve">beta</t>
  </si>
  <si>
    <t xml:space="preserve">gamma</t>
  </si>
  <si>
    <t xml:space="preserve">Use COD Network call center?</t>
  </si>
  <si>
    <t xml:space="preserve">Yes</t>
  </si>
  <si>
    <t xml:space="preserve">No = you confirm orders yourself (no call-center fees)</t>
  </si>
  <si>
    <t xml:space="preserve">Buy 1</t>
  </si>
  <si>
    <t xml:space="preserve">Average order value (from offers)</t>
  </si>
  <si>
    <t xml:space="preserve">Calculated from the OFFERS table on the right (prices x mix)</t>
  </si>
  <si>
    <t xml:space="preserve">Buy 1 Get 1 Free</t>
  </si>
  <si>
    <t xml:space="preserve">Product cost (landed, per unit)</t>
  </si>
  <si>
    <t xml:space="preserve">Buy 2 Get 1 Free</t>
  </si>
  <si>
    <t xml:space="preserve">Cost per result (cost per lead)</t>
  </si>
  <si>
    <t xml:space="preserve">From your ads manager</t>
  </si>
  <si>
    <t xml:space="preserve">Your mix (weighted)</t>
  </si>
  <si>
    <t xml:space="preserve">Cost per result is in</t>
  </si>
  <si>
    <t xml:space="preserve">USD</t>
  </si>
  <si>
    <t xml:space="preserve">USD or Market currency</t>
  </si>
  <si>
    <t xml:space="preserve">Number of leads</t>
  </si>
  <si>
    <t xml:space="preserve">Leads / orders received in the period</t>
  </si>
  <si>
    <t xml:space="preserve">Helper: per-lead model (do not edit)</t>
  </si>
  <si>
    <t xml:space="preserve">Confirmation rate</t>
  </si>
  <si>
    <t xml:space="preserve">% of leads confirmed by the call center</t>
  </si>
  <si>
    <t xml:space="preserve">Price per delivered (incl. upsell)</t>
  </si>
  <si>
    <t xml:space="preserve">Return rate</t>
  </si>
  <si>
    <t xml:space="preserve">% of confirmed orders refused / not delivered</t>
  </si>
  <si>
    <t xml:space="preserve">7. NET PROFIT SENSITIVITY: cost per lead (rows) x return rate (columns)</t>
  </si>
  <si>
    <t xml:space="preserve">alpha (per delivered)</t>
  </si>
  <si>
    <t xml:space="preserve">Upsell rate</t>
  </si>
  <si>
    <t xml:space="preserve">% of delivered orders that took an upsell / cross-sell</t>
  </si>
  <si>
    <t xml:space="preserve">beta (per returned)</t>
  </si>
  <si>
    <t xml:space="preserve">Upsell extra revenue per upsell</t>
  </si>
  <si>
    <t xml:space="preserve">Extra price collected per upsell order</t>
  </si>
  <si>
    <t xml:space="preserve">CPL \ Return</t>
  </si>
  <si>
    <t xml:space="preserve">gamma (product cost per delivered)</t>
  </si>
  <si>
    <t xml:space="preserve">Upsell extra product cost per upsell</t>
  </si>
  <si>
    <t xml:space="preserve">Extra unit cost per upsell order</t>
  </si>
  <si>
    <t xml:space="preserve">Lead fee</t>
  </si>
  <si>
    <t xml:space="preserve">Weight per unit (kg)</t>
  </si>
  <si>
    <t xml:space="preserve">Higher of real or volumetric (LxHxW/5000); order weight = units x this</t>
  </si>
  <si>
    <t xml:space="preserve">Fixed per lead</t>
  </si>
  <si>
    <t xml:space="preserve">Payment processing fee (on payout)</t>
  </si>
  <si>
    <t xml:space="preserve">Contract: 0% to 5% by method (PayPal, bank, Payoneer)</t>
  </si>
  <si>
    <t xml:space="preserve">Intercept (r=0, total)</t>
  </si>
  <si>
    <t xml:space="preserve">Other fixed costs (period)</t>
  </si>
  <si>
    <t xml:space="preserve">Shopify, apps, creatives, salaries, customs... in market currency</t>
  </si>
  <si>
    <t xml:space="preserve">Slope per unit return rate</t>
  </si>
  <si>
    <t xml:space="preserve">Check: model - P&amp;L (should be 0)</t>
  </si>
  <si>
    <t xml:space="preserve">3. FEES APPLIED (pulled automatically from your contract)</t>
  </si>
  <si>
    <t xml:space="preserve">Check: offer mix - P&amp;L (should be 0)</t>
  </si>
  <si>
    <t xml:space="preserve">Fee table row (helper)</t>
  </si>
  <si>
    <t xml:space="preserve">Position of the market in the fee table</t>
  </si>
  <si>
    <t xml:space="preserve">Region</t>
  </si>
  <si>
    <t xml:space="preserve">Rows = 0.5x to 2.5x your current cost per lead. Column headers (blue) are editable.</t>
  </si>
  <si>
    <t xml:space="preserve">Currency</t>
  </si>
  <si>
    <t xml:space="preserve">All amounts below are in this currency</t>
  </si>
  <si>
    <t xml:space="preserve">Call center - fee per lead</t>
  </si>
  <si>
    <t xml:space="preserve">Call center - fee per confirmed order</t>
  </si>
  <si>
    <t xml:space="preserve">Call center - fee per delivered order</t>
  </si>
  <si>
    <t xml:space="preserve">Call center - fee per upsell</t>
  </si>
  <si>
    <t xml:space="preserve">Shipping per delivered order</t>
  </si>
  <si>
    <t xml:space="preserve">Without call center the flat GCC rate is used</t>
  </si>
  <si>
    <t xml:space="preserve">Shipping per returned order</t>
  </si>
  <si>
    <t xml:space="preserve">Fulfillment per shipped order</t>
  </si>
  <si>
    <t xml:space="preserve">Charged on every shipped (confirmed) order</t>
  </si>
  <si>
    <t xml:space="preserve">Overweight surcharge per shipped order (avg)</t>
  </si>
  <si>
    <t xml:space="preserve">Contract: +1 per kg above 5 kg (local shipping), weighted by offer mix</t>
  </si>
  <si>
    <t xml:space="preserve">COD fee (% of cash collected)</t>
  </si>
  <si>
    <t xml:space="preserve">Exchange rate (units per 1 USD)</t>
  </si>
  <si>
    <t xml:space="preserve">Edit on the fees tab</t>
  </si>
  <si>
    <t xml:space="preserve">Cost per lead in market currency</t>
  </si>
  <si>
    <t xml:space="preserve">4. ORDER FUNNEL</t>
  </si>
  <si>
    <t xml:space="preserve">Leads</t>
  </si>
  <si>
    <t xml:space="preserve">Confirmed (shipped) orders</t>
  </si>
  <si>
    <t xml:space="preserve">Delivered orders</t>
  </si>
  <si>
    <t xml:space="preserve">Returned orders</t>
  </si>
  <si>
    <t xml:space="preserve">Upsell orders</t>
  </si>
  <si>
    <t xml:space="preserve">Delivery rate (delivered / leads)</t>
  </si>
  <si>
    <t xml:space="preserve">Your real 'lead to cash' rate</t>
  </si>
  <si>
    <t xml:space="preserve">5. PROFIT &amp; LOSS</t>
  </si>
  <si>
    <t xml:space="preserve">Product revenue</t>
  </si>
  <si>
    <t xml:space="preserve">Upsell revenue</t>
  </si>
  <si>
    <t xml:space="preserve">Total cash collected (revenue)</t>
  </si>
  <si>
    <t xml:space="preserve">Call center fees</t>
  </si>
  <si>
    <t xml:space="preserve">Lead + confirmation + delivery + upsell fees</t>
  </si>
  <si>
    <t xml:space="preserve">Shipping - delivered orders</t>
  </si>
  <si>
    <t xml:space="preserve">Shipping - returned orders</t>
  </si>
  <si>
    <t xml:space="preserve">Fulfillment</t>
  </si>
  <si>
    <t xml:space="preserve">Overweight surcharge</t>
  </si>
  <si>
    <t xml:space="preserve">COD fee</t>
  </si>
  <si>
    <t xml:space="preserve">Total COD Network fees</t>
  </si>
  <si>
    <t xml:space="preserve">Payout from COD Network</t>
  </si>
  <si>
    <t xml:space="preserve">What COD Network transfers to you</t>
  </si>
  <si>
    <t xml:space="preserve">Payment processing fee</t>
  </si>
  <si>
    <t xml:space="preserve">Ad spend</t>
  </si>
  <si>
    <t xml:space="preserve">Leads x cost per lead</t>
  </si>
  <si>
    <t xml:space="preserve">Product cost (delivered units)</t>
  </si>
  <si>
    <t xml:space="preserve">Delivered orders x avg units (incl. free) x unit cost; returns go back to stock</t>
  </si>
  <si>
    <t xml:space="preserve">Other fixed costs</t>
  </si>
  <si>
    <t xml:space="preserve">Total costs</t>
  </si>
  <si>
    <t xml:space="preserve">NET PROFIT</t>
  </si>
  <si>
    <t xml:space="preserve">6. KEY NUMBERS</t>
  </si>
  <si>
    <t xml:space="preserve">Net margin (profit / revenue)</t>
  </si>
  <si>
    <t xml:space="preserve">ROI (profit / (ads + product cost))</t>
  </si>
  <si>
    <t xml:space="preserve">ROAS (revenue / ad spend)</t>
  </si>
  <si>
    <t xml:space="preserve">Ad cost per delivered order (real CPA)</t>
  </si>
  <si>
    <t xml:space="preserve">Total cost per delivered order</t>
  </si>
  <si>
    <t xml:space="preserve">All costs except the product itself</t>
  </si>
  <si>
    <t xml:space="preserve">Break-even average order value</t>
  </si>
  <si>
    <t xml:space="preserve">Break-even return rate</t>
  </si>
  <si>
    <t xml:space="preserve">Highest return rate before you lose money</t>
  </si>
  <si>
    <t xml:space="preserve">Compare products / markets side by side</t>
  </si>
  <si>
    <t xml:space="preserve">Yellow = inputs, one product per row. Offer units (1 / 1+1 free / 2+1 free) and the payment processing fee come from the Calculator. Upsells, overweight surcharge and fixed costs are not included here - use the Calculator for those.</t>
  </si>
  <si>
    <t xml:space="preserve">Product</t>
  </si>
  <si>
    <t xml:space="preserve">Market</t>
  </si>
  <si>
    <t xml:space="preserve">Category</t>
  </si>
  <si>
    <t xml:space="preserve">Call center?</t>
  </si>
  <si>
    <t xml:space="preserve">Price: Buy 1</t>
  </si>
  <si>
    <t xml:space="preserve">Price: Buy 1 Get 1 Free</t>
  </si>
  <si>
    <t xml:space="preserve">Price: Buy 2 Get 1 Free</t>
  </si>
  <si>
    <t xml:space="preserve">% Buy 1</t>
  </si>
  <si>
    <t xml:space="preserve">% Buy 1 Get 1 Free</t>
  </si>
  <si>
    <t xml:space="preserve">% Buy 2 Get 1 Free</t>
  </si>
  <si>
    <t xml:space="preserve">Product cost per unit</t>
  </si>
  <si>
    <t xml:space="preserve">Cost per lead</t>
  </si>
  <si>
    <t xml:space="preserve">CPL currency</t>
  </si>
  <si>
    <t xml:space="preserve">Avg order value</t>
  </si>
  <si>
    <t xml:space="preserve">Avg units per order</t>
  </si>
  <si>
    <t xml:space="preserve">Confirmed</t>
  </si>
  <si>
    <t xml:space="preserve">Delivered</t>
  </si>
  <si>
    <t xml:space="preserve">Revenue</t>
  </si>
  <si>
    <t xml:space="preserve">Product cost total</t>
  </si>
  <si>
    <t xml:space="preserve">Shipping</t>
  </si>
  <si>
    <t xml:space="preserve">Payment fee</t>
  </si>
  <si>
    <t xml:space="preserve">Profit / delivered</t>
  </si>
  <si>
    <t xml:space="preserve">Margin</t>
  </si>
  <si>
    <t xml:space="preserve">ROI</t>
  </si>
  <si>
    <t xml:space="preserve">Break-even CPL</t>
  </si>
  <si>
    <t xml:space="preserve">Fee row</t>
  </si>
  <si>
    <t xml:space="preserve">Example: posture corrector</t>
  </si>
  <si>
    <t xml:space="preserve">Example: serum</t>
  </si>
  <si>
    <t xml:space="preserve">KSA</t>
  </si>
  <si>
    <t xml:space="preserve">Cosmetic</t>
  </si>
  <si>
    <t xml:space="preserve">Example: gummies</t>
  </si>
  <si>
    <t xml:space="preserve">Spain</t>
  </si>
  <si>
    <t xml:space="preserve">Market currency</t>
  </si>
  <si>
    <t xml:space="preserve">All money columns are in each row's market currency (column Q). Break-even CPL is in the row's CPL currency. If the offer % don't add up to 100%, they are scaled to 100%.</t>
  </si>
  <si>
    <t xml:space="preserve">COD Network fee schedule (from your agreement)</t>
  </si>
  <si>
    <t xml:space="preserve">Source: COD Network DWC LLC agreement (PDF you provided). Blue = values copied from the contract. Edit any cell if your rates change - every calculation updates automatically.</t>
  </si>
  <si>
    <t xml:space="preserve">Lead fee
(Gadget)</t>
  </si>
  <si>
    <t xml:space="preserve">Confirmed fee
(Gadget)</t>
  </si>
  <si>
    <t xml:space="preserve">Delivered fee
(Gadget)</t>
  </si>
  <si>
    <t xml:space="preserve">Lead fee
(Cosmetic)</t>
  </si>
  <si>
    <t xml:space="preserve">Confirmed fee
(Cosmetic)</t>
  </si>
  <si>
    <t xml:space="preserve">Delivered fee
(Cosmetic)</t>
  </si>
  <si>
    <t xml:space="preserve">Upsell / cross-sell
fee</t>
  </si>
  <si>
    <t xml:space="preserve">Shipping delivered
(with call center)</t>
  </si>
  <si>
    <t xml:space="preserve">Shipping returned
(with call center)</t>
  </si>
  <si>
    <t xml:space="preserve">Shipping flat
(without call center)</t>
  </si>
  <si>
    <t xml:space="preserve">Fulfillment
per shipped order</t>
  </si>
  <si>
    <t xml:space="preserve">Extra per kg
over 5 kg</t>
  </si>
  <si>
    <t xml:space="preserve">COD fee
(% of collected)</t>
  </si>
  <si>
    <t xml:space="preserve">Notes</t>
  </si>
  <si>
    <t xml:space="preserve">UAE</t>
  </si>
  <si>
    <t xml:space="preserve">GCC</t>
  </si>
  <si>
    <t xml:space="preserve">VAT included</t>
  </si>
  <si>
    <t xml:space="preserve">Bahrain</t>
  </si>
  <si>
    <t xml:space="preserve">Oman</t>
  </si>
  <si>
    <t xml:space="preserve">Kuwait</t>
  </si>
  <si>
    <t xml:space="preserve">Qatar</t>
  </si>
  <si>
    <t xml:space="preserve">MAD</t>
  </si>
  <si>
    <t xml:space="preserve">No COD fee column in the Morocco table - set to 0%. Confirm with COD Network.</t>
  </si>
  <si>
    <t xml:space="preserve">Europe</t>
  </si>
  <si>
    <t xml:space="preserve">EUR</t>
  </si>
  <si>
    <t xml:space="preserve">VAT 0%. Upsell fee not listed for Europe - assumed same as general clause (1).</t>
  </si>
  <si>
    <t xml:space="preserve">Portugal</t>
  </si>
  <si>
    <t xml:space="preserve">Poland</t>
  </si>
  <si>
    <t xml:space="preserve">Czech Republic</t>
  </si>
  <si>
    <t xml:space="preserve">Hungary</t>
  </si>
  <si>
    <t xml:space="preserve">Slovakia</t>
  </si>
  <si>
    <t xml:space="preserve">Romania</t>
  </si>
  <si>
    <t xml:space="preserve">Lithuania</t>
  </si>
  <si>
    <t xml:space="preserve">Slovenia</t>
  </si>
  <si>
    <t xml:space="preserve">Croatia</t>
  </si>
  <si>
    <t xml:space="preserve">Colombia</t>
  </si>
  <si>
    <t xml:space="preserve">LATAM</t>
  </si>
  <si>
    <t xml:space="preserve">VAT 0%. Upsell fee not listed for LATAM - assumed same as general clause ($1).</t>
  </si>
  <si>
    <t xml:space="preserve">Panama</t>
  </si>
  <si>
    <t xml:space="preserve">Exchange rates (edit to today's rate)</t>
  </si>
  <si>
    <t xml:space="preserve">Units per 1 USD</t>
  </si>
  <si>
    <t xml:space="preserve">Approximate rates - update them before using. Only used when your cost per result is in USD.</t>
  </si>
  <si>
    <t xml:space="preserve">Contract terms that are NOT modelled per order (add them under 'Other fixed costs' on the Calculator if they apply):</t>
  </si>
  <si>
    <t xml:space="preserve">- Payment processing on remittances: 0% to 5% depending on method (PayPal, bank transfer, Payoneer) -&gt; input on Calculator.</t>
  </si>
  <si>
    <t xml:space="preserve">- International (cross-border) shipping, customs clearance (+$9 Kuwait), import duties and government taxes.</t>
  </si>
  <si>
    <t xml:space="preserve">- Storage and labeling are free in all listed markets; GCC fulfillment is free; Morocco fulfillment is 8 MAD per order.</t>
  </si>
  <si>
    <t xml:space="preserve">- Volumetric weight: L x H x W / 5000. Use the higher of real and volumetric weight in 'Package weight'.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</si>
</sst>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#,##0.00;\(#,##0.00\);\-"/>
    <numFmt numFmtId="167" formatCode="0.0%;\(0.0%\);\-"/>
    <numFmt numFmtId="168" formatCode="#,##0;\(#,##0\);\-"/>
    <numFmt numFmtId="169" formatCode="#,##0.00"/>
    <numFmt numFmtId="170" formatCode="0.00"/>
    <numFmt numFmtId="171" formatCode="0%"/>
    <numFmt numFmtId="172" formatCode="0.0"/>
    <numFmt numFmtId="173" formatCode="0.00\x"/>
    <numFmt numFmtId="17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7943B"/>
        <bgColor rgb="FFFF8080"/>
      </patternFill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FF4E8"/>
        <bgColor rgb="FFF2F2F2"/>
      </patternFill>
    </fill>
    <fill>
      <patternFill patternType="solid">
        <fgColor rgb="FFF2F2F2"/>
        <bgColor rgb="FFFF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8000"/>
        <sz val="13"/>
      </font>
    </dxf>
    <dxf>
      <font>
        <name val="Arial"/>
        <charset val="1"/>
        <family val="0"/>
        <b val="1"/>
        <color rgb="FFC00000"/>
        <sz val="13"/>
      </font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4E8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43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3"/>
    <col collapsed="false" customWidth="true" hidden="false" outlineLevel="0" max="5" min="5" style="0" width="20"/>
    <col collapsed="false" customWidth="true" hidden="false" outlineLevel="0" max="14" min="6" style="0" width="13"/>
    <col collapsed="false" customWidth="true" hidden="false" outlineLevel="0" max="15" min="15" style="0" width="3"/>
    <col collapsed="false" customWidth="true" hidden="false" outlineLevel="0" max="16" min="16" style="0" width="32"/>
  </cols>
  <sheetData>
    <row r="1" customFormat="false" ht="30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E4" s="4" t="s">
        <v>3</v>
      </c>
      <c r="F4" s="4"/>
      <c r="G4" s="4"/>
      <c r="H4" s="4"/>
      <c r="I4" s="4"/>
      <c r="J4" s="4"/>
      <c r="K4" s="4"/>
      <c r="L4" s="4"/>
      <c r="M4" s="4"/>
      <c r="N4" s="4"/>
    </row>
    <row r="5" customFormat="false" ht="15" hidden="false" customHeight="false" outlineLevel="0" collapsed="false">
      <c r="A5" s="5" t="s">
        <v>4</v>
      </c>
      <c r="B5" s="6" t="s">
        <v>5</v>
      </c>
      <c r="C5" s="2" t="s">
        <v>6</v>
      </c>
      <c r="E5" s="2" t="s">
        <v>7</v>
      </c>
      <c r="P5" s="2" t="s">
        <v>8</v>
      </c>
    </row>
    <row r="6" customFormat="false" ht="45" hidden="false" customHeight="true" outlineLevel="0" collapsed="false">
      <c r="A6" s="5" t="s">
        <v>9</v>
      </c>
      <c r="B6" s="6" t="s">
        <v>10</v>
      </c>
      <c r="C6" s="2" t="s">
        <v>11</v>
      </c>
      <c r="E6" s="7" t="s">
        <v>12</v>
      </c>
      <c r="F6" s="7" t="s">
        <v>13</v>
      </c>
      <c r="G6" s="7" t="s">
        <v>14</v>
      </c>
      <c r="H6" s="7" t="s">
        <v>15</v>
      </c>
      <c r="I6" s="7" t="s">
        <v>16</v>
      </c>
      <c r="J6" s="7" t="s">
        <v>17</v>
      </c>
      <c r="K6" s="7" t="s">
        <v>18</v>
      </c>
      <c r="L6" s="7" t="s">
        <v>19</v>
      </c>
      <c r="M6" s="7" t="s">
        <v>20</v>
      </c>
      <c r="N6" s="7" t="s">
        <v>21</v>
      </c>
      <c r="P6" s="2" t="s">
        <v>22</v>
      </c>
      <c r="Q6" s="2" t="s">
        <v>23</v>
      </c>
      <c r="R6" s="2" t="s">
        <v>24</v>
      </c>
      <c r="S6" s="2" t="s">
        <v>25</v>
      </c>
    </row>
    <row r="7" customFormat="false" ht="15" hidden="false" customHeight="false" outlineLevel="0" collapsed="false">
      <c r="A7" s="5" t="s">
        <v>26</v>
      </c>
      <c r="B7" s="6" t="s">
        <v>27</v>
      </c>
      <c r="C7" s="2" t="s">
        <v>28</v>
      </c>
      <c r="E7" s="8" t="s">
        <v>29</v>
      </c>
      <c r="F7" s="9" t="n">
        <v>1</v>
      </c>
      <c r="G7" s="9" t="n">
        <v>0</v>
      </c>
      <c r="H7" s="10" t="n">
        <f aca="false">F7+G7</f>
        <v>1</v>
      </c>
      <c r="I7" s="11" t="n">
        <v>249</v>
      </c>
      <c r="J7" s="12" t="n">
        <v>0.5</v>
      </c>
      <c r="K7" s="13" t="n">
        <f aca="false">H7*$B$9</f>
        <v>40</v>
      </c>
      <c r="L7" s="14" t="n">
        <f aca="false">IF($B$41=0,0,M7/$B$41)</f>
        <v>87.8133333333333</v>
      </c>
      <c r="M7" s="15" t="n">
        <f aca="false">$B$12*((1-$B$19)*(-$B$26+$B$13*(1-$B$14)*Q7+$B$13*$B$14*R7)-$B$13*(1-$B$14)*S7-$B$36)-$B$20</f>
        <v>34247.2</v>
      </c>
      <c r="N7" s="13" t="n">
        <f aca="false">IF($B$12=0,0,(M7+$B$59)/$B$12/IF($B$11="USD",$B$35,1))</f>
        <v>5.72252173913044</v>
      </c>
      <c r="P7" s="16" t="n">
        <f aca="false">MAX(0,H7*$B$18-5)*INDEX('COD Network Fees'!$O$5:$O$23,$B$23)</f>
        <v>0</v>
      </c>
      <c r="Q7" s="16" t="n">
        <f aca="false">(I7+$B$15*$B$16)*(1-$B$34)-$B$27-$B$28-$B$15*$B$29-$B$30-$B$32-P7</f>
        <v>195</v>
      </c>
      <c r="R7" s="16" t="n">
        <f aca="false">-($B$27+$B$31+$B$32+P7)</f>
        <v>-21</v>
      </c>
      <c r="S7" s="16" t="n">
        <f aca="false">H7*$B$9+$B$15*$B$17</f>
        <v>40</v>
      </c>
    </row>
    <row r="8" customFormat="false" ht="15" hidden="false" customHeight="false" outlineLevel="0" collapsed="false">
      <c r="A8" s="5" t="s">
        <v>30</v>
      </c>
      <c r="B8" s="17" t="n">
        <f aca="false">IF(SUM($J$7:$J$9)=0,0,SUMPRODUCT($I$7:$I$9,$J$7:$J$9)/SUM($J$7:$J$9))</f>
        <v>319</v>
      </c>
      <c r="C8" s="2" t="s">
        <v>31</v>
      </c>
      <c r="E8" s="8" t="s">
        <v>32</v>
      </c>
      <c r="F8" s="9" t="n">
        <v>1</v>
      </c>
      <c r="G8" s="9" t="n">
        <v>1</v>
      </c>
      <c r="H8" s="10" t="n">
        <f aca="false">F8+G8</f>
        <v>2</v>
      </c>
      <c r="I8" s="11" t="n">
        <v>349</v>
      </c>
      <c r="J8" s="12" t="n">
        <v>0.3</v>
      </c>
      <c r="K8" s="13" t="n">
        <f aca="false">H8*$B$9</f>
        <v>80</v>
      </c>
      <c r="L8" s="14" t="n">
        <f aca="false">IF($B$41=0,0,M8/$B$41)</f>
        <v>145.813333333333</v>
      </c>
      <c r="M8" s="15" t="n">
        <f aca="false">$B$12*((1-$B$19)*(-$B$26+$B$13*(1-$B$14)*Q8+$B$13*$B$14*R8)-$B$13*(1-$B$14)*S8-$B$36)-$B$20</f>
        <v>56867.2</v>
      </c>
      <c r="N8" s="13" t="n">
        <f aca="false">IF($B$12=0,0,(M8+$B$59)/$B$12/IF($B$11="USD",$B$35,1))</f>
        <v>8.18121739130435</v>
      </c>
      <c r="P8" s="16" t="n">
        <f aca="false">MAX(0,H8*$B$18-5)*INDEX('COD Network Fees'!$O$5:$O$23,$B$23)</f>
        <v>0</v>
      </c>
      <c r="Q8" s="16" t="n">
        <f aca="false">(I8+$B$15*$B$16)*(1-$B$34)-$B$27-$B$28-$B$15*$B$29-$B$30-$B$32-P8</f>
        <v>295</v>
      </c>
      <c r="R8" s="16" t="n">
        <f aca="false">-($B$27+$B$31+$B$32+P8)</f>
        <v>-21</v>
      </c>
      <c r="S8" s="16" t="n">
        <f aca="false">H8*$B$9+$B$15*$B$17</f>
        <v>80</v>
      </c>
    </row>
    <row r="9" customFormat="false" ht="15" hidden="false" customHeight="false" outlineLevel="0" collapsed="false">
      <c r="A9" s="5" t="s">
        <v>33</v>
      </c>
      <c r="B9" s="18" t="n">
        <v>40</v>
      </c>
      <c r="C9" s="2" t="str">
        <f aca="false">"Purchase + import cost per unit, in "&amp;B25&amp;" (free units count too)"</f>
        <v>Purchase + import cost per unit, in MAD (free units count too)</v>
      </c>
      <c r="E9" s="8" t="s">
        <v>34</v>
      </c>
      <c r="F9" s="9" t="n">
        <v>2</v>
      </c>
      <c r="G9" s="9" t="n">
        <v>1</v>
      </c>
      <c r="H9" s="10" t="n">
        <f aca="false">F9+G9</f>
        <v>3</v>
      </c>
      <c r="I9" s="11" t="n">
        <v>449</v>
      </c>
      <c r="J9" s="12" t="n">
        <v>0.2</v>
      </c>
      <c r="K9" s="13" t="n">
        <f aca="false">H9*$B$9</f>
        <v>120</v>
      </c>
      <c r="L9" s="14" t="n">
        <f aca="false">IF($B$41=0,0,M9/$B$41)</f>
        <v>203.813333333333</v>
      </c>
      <c r="M9" s="15" t="n">
        <f aca="false">$B$12*((1-$B$19)*(-$B$26+$B$13*(1-$B$14)*Q9+$B$13*$B$14*R9)-$B$13*(1-$B$14)*S9-$B$36)-$B$20</f>
        <v>79487.2</v>
      </c>
      <c r="N9" s="13" t="n">
        <f aca="false">IF($B$12=0,0,(M9+$B$59)/$B$12/IF($B$11="USD",$B$35,1))</f>
        <v>10.6399130434783</v>
      </c>
      <c r="P9" s="16" t="n">
        <f aca="false">MAX(0,H9*$B$18-5)*INDEX('COD Network Fees'!$O$5:$O$23,$B$23)</f>
        <v>0</v>
      </c>
      <c r="Q9" s="16" t="n">
        <f aca="false">(I9+$B$15*$B$16)*(1-$B$34)-$B$27-$B$28-$B$15*$B$29-$B$30-$B$32-P9</f>
        <v>395</v>
      </c>
      <c r="R9" s="16" t="n">
        <f aca="false">-($B$27+$B$31+$B$32+P9)</f>
        <v>-21</v>
      </c>
      <c r="S9" s="16" t="n">
        <f aca="false">H9*$B$9+$B$15*$B$17</f>
        <v>120</v>
      </c>
    </row>
    <row r="10" customFormat="false" ht="15" hidden="false" customHeight="false" outlineLevel="0" collapsed="false">
      <c r="A10" s="5" t="s">
        <v>35</v>
      </c>
      <c r="B10" s="18" t="n">
        <v>2</v>
      </c>
      <c r="C10" s="2" t="s">
        <v>36</v>
      </c>
      <c r="E10" s="19" t="s">
        <v>37</v>
      </c>
      <c r="F10" s="20"/>
      <c r="G10" s="20"/>
      <c r="H10" s="21" t="n">
        <f aca="false">IF(SUM(J7:J9)=0,0,SUMPRODUCT(H7:H9,J7:J9)/SUM(J7:J9))</f>
        <v>1.7</v>
      </c>
      <c r="I10" s="22" t="n">
        <f aca="false">$B$8</f>
        <v>319</v>
      </c>
      <c r="J10" s="23" t="n">
        <f aca="false">SUM(J7:J9)</f>
        <v>1</v>
      </c>
      <c r="K10" s="22" t="n">
        <f aca="false">H10*$B$9</f>
        <v>68</v>
      </c>
      <c r="L10" s="22" t="n">
        <f aca="false">$B$66</f>
        <v>128.413333333333</v>
      </c>
      <c r="M10" s="24" t="n">
        <f aca="false">$B$63</f>
        <v>50081.2</v>
      </c>
      <c r="N10" s="22" t="n">
        <f aca="false">$B$72</f>
        <v>7.44360869565217</v>
      </c>
    </row>
    <row r="11" customFormat="false" ht="15" hidden="false" customHeight="false" outlineLevel="0" collapsed="false">
      <c r="A11" s="5" t="s">
        <v>38</v>
      </c>
      <c r="B11" s="6" t="s">
        <v>39</v>
      </c>
      <c r="C11" s="2" t="s">
        <v>40</v>
      </c>
      <c r="E11" s="2" t="str">
        <f aca="false">IF(ROUND(J10,4)=1,"Offer shares add up to 100%.","Warning: offer shares add up to "&amp;TEXT(J10,"0%")&amp;" - they are scaled to 100% in the calculations.")</f>
        <v>Offer shares add up to 100%.</v>
      </c>
    </row>
    <row r="12" customFormat="false" ht="15" hidden="false" customHeight="false" outlineLevel="0" collapsed="false">
      <c r="A12" s="5" t="s">
        <v>41</v>
      </c>
      <c r="B12" s="25" t="n">
        <v>1000</v>
      </c>
      <c r="C12" s="2" t="s">
        <v>42</v>
      </c>
      <c r="E12" s="2" t="str">
        <f aca="false">"Profit per offer uses all your other inputs (leads, confirmation, returns, CPL, fees). Currency: "&amp;$B$25</f>
        <v>Profit per offer uses all your other inputs (leads, confirmation, returns, CPL, fees). Currency: MAD</v>
      </c>
      <c r="P12" s="2" t="s">
        <v>43</v>
      </c>
    </row>
    <row r="13" customFormat="false" ht="15" hidden="false" customHeight="false" outlineLevel="0" collapsed="false">
      <c r="A13" s="5" t="s">
        <v>44</v>
      </c>
      <c r="B13" s="26" t="n">
        <v>0.6</v>
      </c>
      <c r="C13" s="2" t="s">
        <v>45</v>
      </c>
      <c r="P13" s="2" t="s">
        <v>46</v>
      </c>
      <c r="Q13" s="16" t="n">
        <f aca="false">B8+B15*B16</f>
        <v>319</v>
      </c>
    </row>
    <row r="14" customFormat="false" ht="15" hidden="false" customHeight="false" outlineLevel="0" collapsed="false">
      <c r="A14" s="5" t="s">
        <v>47</v>
      </c>
      <c r="B14" s="26" t="n">
        <v>0.35</v>
      </c>
      <c r="C14" s="2" t="s">
        <v>48</v>
      </c>
      <c r="E14" s="3" t="s">
        <v>49</v>
      </c>
      <c r="F14" s="3"/>
      <c r="G14" s="3"/>
      <c r="H14" s="3"/>
      <c r="I14" s="3"/>
      <c r="J14" s="3"/>
      <c r="K14" s="3"/>
      <c r="L14" s="3"/>
      <c r="P14" s="2" t="s">
        <v>50</v>
      </c>
      <c r="Q14" s="16" t="n">
        <f aca="false">Q13*(1-B34)-B27-B28-B15*B29-B30-B32-B33</f>
        <v>265</v>
      </c>
    </row>
    <row r="15" customFormat="false" ht="15" hidden="false" customHeight="false" outlineLevel="0" collapsed="false">
      <c r="A15" s="5" t="s">
        <v>51</v>
      </c>
      <c r="B15" s="26" t="n">
        <v>0</v>
      </c>
      <c r="C15" s="2" t="s">
        <v>52</v>
      </c>
      <c r="E15" s="2" t="str">
        <f aca="false">"Uses your offer mix, confirmation rate and fees. CPL in "&amp;IF($B$11="USD","USD",$B$25)&amp;", profit in "&amp;$B$25&amp;"."</f>
        <v>Uses your offer mix, confirmation rate and fees. CPL in USD, profit in MAD.</v>
      </c>
      <c r="P15" s="2" t="s">
        <v>53</v>
      </c>
      <c r="Q15" s="16" t="n">
        <f aca="false">-(B27+B31+B32+B33)</f>
        <v>-21</v>
      </c>
    </row>
    <row r="16" customFormat="false" ht="15" hidden="false" customHeight="false" outlineLevel="0" collapsed="false">
      <c r="A16" s="5" t="s">
        <v>54</v>
      </c>
      <c r="B16" s="18" t="n">
        <v>0</v>
      </c>
      <c r="C16" s="2" t="s">
        <v>55</v>
      </c>
      <c r="E16" s="27" t="s">
        <v>56</v>
      </c>
      <c r="F16" s="28" t="n">
        <v>0.15</v>
      </c>
      <c r="G16" s="28" t="n">
        <v>0.25</v>
      </c>
      <c r="H16" s="28" t="n">
        <v>0.3</v>
      </c>
      <c r="I16" s="28" t="n">
        <v>0.35</v>
      </c>
      <c r="J16" s="28" t="n">
        <v>0.4</v>
      </c>
      <c r="K16" s="28" t="n">
        <v>0.5</v>
      </c>
      <c r="L16" s="28" t="n">
        <v>0.6</v>
      </c>
      <c r="P16" s="2" t="s">
        <v>57</v>
      </c>
      <c r="Q16" s="16" t="n">
        <f aca="false">H10*B9+B15*B17</f>
        <v>68</v>
      </c>
    </row>
    <row r="17" customFormat="false" ht="15" hidden="false" customHeight="false" outlineLevel="0" collapsed="false">
      <c r="A17" s="5" t="s">
        <v>58</v>
      </c>
      <c r="B17" s="18" t="n">
        <v>0</v>
      </c>
      <c r="C17" s="2" t="s">
        <v>59</v>
      </c>
      <c r="E17" s="29" t="n">
        <f aca="false">$B$10*0.5</f>
        <v>1</v>
      </c>
      <c r="F17" s="15" t="n">
        <f aca="false">$B$12*((1-$B$19)*(-$Q$17+$B$13*(1-F$16)*$Q$14+$B$13*F$16*$Q$15)-$B$13*(1-F$16)*$Q$16-$E17*IF($B$11="USD",$B$35,1))-$B$20</f>
        <v>84754.8</v>
      </c>
      <c r="G17" s="15" t="n">
        <f aca="false">$B$12*((1-$B$19)*(-$Q$17+$B$13*(1-G$16)*$Q$14+$B$13*G$16*$Q$15)-$B$13*(1-G$16)*$Q$16-$E17*IF($B$11="USD",$B$35,1))-$B$20</f>
        <v>72018</v>
      </c>
      <c r="H17" s="15" t="n">
        <f aca="false">$B$12*((1-$B$19)*(-$Q$17+$B$13*(1-H$16)*$Q$14+$B$13*H$16*$Q$15)-$B$13*(1-H$16)*$Q$16-$E17*IF($B$11="USD",$B$35,1))-$B$20</f>
        <v>65649.6</v>
      </c>
      <c r="I17" s="15" t="n">
        <f aca="false">$B$12*((1-$B$19)*(-$Q$17+$B$13*(1-I$16)*$Q$14+$B$13*I$16*$Q$15)-$B$13*(1-I$16)*$Q$16-$E17*IF($B$11="USD",$B$35,1))-$B$20</f>
        <v>59281.2</v>
      </c>
      <c r="J17" s="15" t="n">
        <f aca="false">$B$12*((1-$B$19)*(-$Q$17+$B$13*(1-J$16)*$Q$14+$B$13*J$16*$Q$15)-$B$13*(1-J$16)*$Q$16-$E17*IF($B$11="USD",$B$35,1))-$B$20</f>
        <v>52912.8</v>
      </c>
      <c r="K17" s="15" t="n">
        <f aca="false">$B$12*((1-$B$19)*(-$Q$17+$B$13*(1-K$16)*$Q$14+$B$13*K$16*$Q$15)-$B$13*(1-K$16)*$Q$16-$E17*IF($B$11="USD",$B$35,1))-$B$20</f>
        <v>40176</v>
      </c>
      <c r="L17" s="15" t="n">
        <f aca="false">$B$12*((1-$B$19)*(-$Q$17+$B$13*(1-L$16)*$Q$14+$B$13*L$16*$Q$15)-$B$13*(1-L$16)*$Q$16-$E17*IF($B$11="USD",$B$35,1))-$B$20</f>
        <v>27439.2</v>
      </c>
      <c r="P17" s="2" t="s">
        <v>60</v>
      </c>
      <c r="Q17" s="16" t="n">
        <f aca="false">B26</f>
        <v>2</v>
      </c>
    </row>
    <row r="18" customFormat="false" ht="15" hidden="false" customHeight="false" outlineLevel="0" collapsed="false">
      <c r="A18" s="5" t="s">
        <v>61</v>
      </c>
      <c r="B18" s="30" t="n">
        <v>0.5</v>
      </c>
      <c r="C18" s="2" t="s">
        <v>62</v>
      </c>
      <c r="E18" s="29" t="n">
        <f aca="false">$B$10*0.75</f>
        <v>1.5</v>
      </c>
      <c r="F18" s="15" t="n">
        <f aca="false">$B$12*((1-$B$19)*(-$Q$17+$B$13*(1-F$16)*$Q$14+$B$13*F$16*$Q$15)-$B$13*(1-F$16)*$Q$16-$E18*IF($B$11="USD",$B$35,1))-$B$20</f>
        <v>80154.8</v>
      </c>
      <c r="G18" s="15" t="n">
        <f aca="false">$B$12*((1-$B$19)*(-$Q$17+$B$13*(1-G$16)*$Q$14+$B$13*G$16*$Q$15)-$B$13*(1-G$16)*$Q$16-$E18*IF($B$11="USD",$B$35,1))-$B$20</f>
        <v>67418</v>
      </c>
      <c r="H18" s="15" t="n">
        <f aca="false">$B$12*((1-$B$19)*(-$Q$17+$B$13*(1-H$16)*$Q$14+$B$13*H$16*$Q$15)-$B$13*(1-H$16)*$Q$16-$E18*IF($B$11="USD",$B$35,1))-$B$20</f>
        <v>61049.6</v>
      </c>
      <c r="I18" s="15" t="n">
        <f aca="false">$B$12*((1-$B$19)*(-$Q$17+$B$13*(1-I$16)*$Q$14+$B$13*I$16*$Q$15)-$B$13*(1-I$16)*$Q$16-$E18*IF($B$11="USD",$B$35,1))-$B$20</f>
        <v>54681.2</v>
      </c>
      <c r="J18" s="15" t="n">
        <f aca="false">$B$12*((1-$B$19)*(-$Q$17+$B$13*(1-J$16)*$Q$14+$B$13*J$16*$Q$15)-$B$13*(1-J$16)*$Q$16-$E18*IF($B$11="USD",$B$35,1))-$B$20</f>
        <v>48312.8</v>
      </c>
      <c r="K18" s="15" t="n">
        <f aca="false">$B$12*((1-$B$19)*(-$Q$17+$B$13*(1-K$16)*$Q$14+$B$13*K$16*$Q$15)-$B$13*(1-K$16)*$Q$16-$E18*IF($B$11="USD",$B$35,1))-$B$20</f>
        <v>35576</v>
      </c>
      <c r="L18" s="15" t="n">
        <f aca="false">$B$12*((1-$B$19)*(-$Q$17+$B$13*(1-L$16)*$Q$14+$B$13*L$16*$Q$15)-$B$13*(1-L$16)*$Q$16-$E18*IF($B$11="USD",$B$35,1))-$B$20</f>
        <v>22839.2</v>
      </c>
      <c r="P18" s="2" t="s">
        <v>63</v>
      </c>
      <c r="Q18" s="16" t="n">
        <f aca="false">IF(B12=0,0,B20/B12)</f>
        <v>0</v>
      </c>
    </row>
    <row r="19" customFormat="false" ht="15" hidden="false" customHeight="false" outlineLevel="0" collapsed="false">
      <c r="A19" s="5" t="s">
        <v>64</v>
      </c>
      <c r="B19" s="26" t="n">
        <v>0.02</v>
      </c>
      <c r="C19" s="2" t="s">
        <v>65</v>
      </c>
      <c r="E19" s="29" t="n">
        <f aca="false">$B$10*1</f>
        <v>2</v>
      </c>
      <c r="F19" s="15" t="n">
        <f aca="false">$B$12*((1-$B$19)*(-$Q$17+$B$13*(1-F$16)*$Q$14+$B$13*F$16*$Q$15)-$B$13*(1-F$16)*$Q$16-$E19*IF($B$11="USD",$B$35,1))-$B$20</f>
        <v>75554.8</v>
      </c>
      <c r="G19" s="15" t="n">
        <f aca="false">$B$12*((1-$B$19)*(-$Q$17+$B$13*(1-G$16)*$Q$14+$B$13*G$16*$Q$15)-$B$13*(1-G$16)*$Q$16-$E19*IF($B$11="USD",$B$35,1))-$B$20</f>
        <v>62818</v>
      </c>
      <c r="H19" s="15" t="n">
        <f aca="false">$B$12*((1-$B$19)*(-$Q$17+$B$13*(1-H$16)*$Q$14+$B$13*H$16*$Q$15)-$B$13*(1-H$16)*$Q$16-$E19*IF($B$11="USD",$B$35,1))-$B$20</f>
        <v>56449.6</v>
      </c>
      <c r="I19" s="15" t="n">
        <f aca="false">$B$12*((1-$B$19)*(-$Q$17+$B$13*(1-I$16)*$Q$14+$B$13*I$16*$Q$15)-$B$13*(1-I$16)*$Q$16-$E19*IF($B$11="USD",$B$35,1))-$B$20</f>
        <v>50081.2</v>
      </c>
      <c r="J19" s="15" t="n">
        <f aca="false">$B$12*((1-$B$19)*(-$Q$17+$B$13*(1-J$16)*$Q$14+$B$13*J$16*$Q$15)-$B$13*(1-J$16)*$Q$16-$E19*IF($B$11="USD",$B$35,1))-$B$20</f>
        <v>43712.8</v>
      </c>
      <c r="K19" s="15" t="n">
        <f aca="false">$B$12*((1-$B$19)*(-$Q$17+$B$13*(1-K$16)*$Q$14+$B$13*K$16*$Q$15)-$B$13*(1-K$16)*$Q$16-$E19*IF($B$11="USD",$B$35,1))-$B$20</f>
        <v>30976</v>
      </c>
      <c r="L19" s="15" t="n">
        <f aca="false">$B$12*((1-$B$19)*(-$Q$17+$B$13*(1-L$16)*$Q$14+$B$13*L$16*$Q$15)-$B$13*(1-L$16)*$Q$16-$E19*IF($B$11="USD",$B$35,1))-$B$20</f>
        <v>18239.2</v>
      </c>
      <c r="P19" s="2" t="s">
        <v>66</v>
      </c>
      <c r="Q19" s="16" t="n">
        <f aca="false">B12*((1-B19)*(-Q17+B13*Q14)-B13*Q16-B36-Q18)</f>
        <v>94660</v>
      </c>
    </row>
    <row r="20" customFormat="false" ht="15" hidden="false" customHeight="false" outlineLevel="0" collapsed="false">
      <c r="A20" s="5" t="s">
        <v>67</v>
      </c>
      <c r="B20" s="18" t="n">
        <v>0</v>
      </c>
      <c r="C20" s="2" t="s">
        <v>68</v>
      </c>
      <c r="E20" s="29" t="n">
        <f aca="false">$B$10*1.25</f>
        <v>2.5</v>
      </c>
      <c r="F20" s="15" t="n">
        <f aca="false">$B$12*((1-$B$19)*(-$Q$17+$B$13*(1-F$16)*$Q$14+$B$13*F$16*$Q$15)-$B$13*(1-F$16)*$Q$16-$E20*IF($B$11="USD",$B$35,1))-$B$20</f>
        <v>70954.8</v>
      </c>
      <c r="G20" s="15" t="n">
        <f aca="false">$B$12*((1-$B$19)*(-$Q$17+$B$13*(1-G$16)*$Q$14+$B$13*G$16*$Q$15)-$B$13*(1-G$16)*$Q$16-$E20*IF($B$11="USD",$B$35,1))-$B$20</f>
        <v>58218</v>
      </c>
      <c r="H20" s="15" t="n">
        <f aca="false">$B$12*((1-$B$19)*(-$Q$17+$B$13*(1-H$16)*$Q$14+$B$13*H$16*$Q$15)-$B$13*(1-H$16)*$Q$16-$E20*IF($B$11="USD",$B$35,1))-$B$20</f>
        <v>51849.6</v>
      </c>
      <c r="I20" s="15" t="n">
        <f aca="false">$B$12*((1-$B$19)*(-$Q$17+$B$13*(1-I$16)*$Q$14+$B$13*I$16*$Q$15)-$B$13*(1-I$16)*$Q$16-$E20*IF($B$11="USD",$B$35,1))-$B$20</f>
        <v>45481.2</v>
      </c>
      <c r="J20" s="15" t="n">
        <f aca="false">$B$12*((1-$B$19)*(-$Q$17+$B$13*(1-J$16)*$Q$14+$B$13*J$16*$Q$15)-$B$13*(1-J$16)*$Q$16-$E20*IF($B$11="USD",$B$35,1))-$B$20</f>
        <v>39112.8</v>
      </c>
      <c r="K20" s="15" t="n">
        <f aca="false">$B$12*((1-$B$19)*(-$Q$17+$B$13*(1-K$16)*$Q$14+$B$13*K$16*$Q$15)-$B$13*(1-K$16)*$Q$16-$E20*IF($B$11="USD",$B$35,1))-$B$20</f>
        <v>26376</v>
      </c>
      <c r="L20" s="15" t="n">
        <f aca="false">$B$12*((1-$B$19)*(-$Q$17+$B$13*(1-L$16)*$Q$14+$B$13*L$16*$Q$15)-$B$13*(1-L$16)*$Q$16-$E20*IF($B$11="USD",$B$35,1))-$B$20</f>
        <v>13639.2</v>
      </c>
      <c r="P20" s="2" t="s">
        <v>69</v>
      </c>
      <c r="Q20" s="16" t="n">
        <f aca="false">B12*B13*((1-B19)*(Q15-Q14)+Q16)</f>
        <v>-127368</v>
      </c>
    </row>
    <row r="21" customFormat="false" ht="15" hidden="false" customHeight="false" outlineLevel="0" collapsed="false">
      <c r="E21" s="29" t="n">
        <f aca="false">$B$10*1.5</f>
        <v>3</v>
      </c>
      <c r="F21" s="15" t="n">
        <f aca="false">$B$12*((1-$B$19)*(-$Q$17+$B$13*(1-F$16)*$Q$14+$B$13*F$16*$Q$15)-$B$13*(1-F$16)*$Q$16-$E21*IF($B$11="USD",$B$35,1))-$B$20</f>
        <v>66354.8</v>
      </c>
      <c r="G21" s="15" t="n">
        <f aca="false">$B$12*((1-$B$19)*(-$Q$17+$B$13*(1-G$16)*$Q$14+$B$13*G$16*$Q$15)-$B$13*(1-G$16)*$Q$16-$E21*IF($B$11="USD",$B$35,1))-$B$20</f>
        <v>53618</v>
      </c>
      <c r="H21" s="15" t="n">
        <f aca="false">$B$12*((1-$B$19)*(-$Q$17+$B$13*(1-H$16)*$Q$14+$B$13*H$16*$Q$15)-$B$13*(1-H$16)*$Q$16-$E21*IF($B$11="USD",$B$35,1))-$B$20</f>
        <v>47249.6</v>
      </c>
      <c r="I21" s="15" t="n">
        <f aca="false">$B$12*((1-$B$19)*(-$Q$17+$B$13*(1-I$16)*$Q$14+$B$13*I$16*$Q$15)-$B$13*(1-I$16)*$Q$16-$E21*IF($B$11="USD",$B$35,1))-$B$20</f>
        <v>40881.2</v>
      </c>
      <c r="J21" s="15" t="n">
        <f aca="false">$B$12*((1-$B$19)*(-$Q$17+$B$13*(1-J$16)*$Q$14+$B$13*J$16*$Q$15)-$B$13*(1-J$16)*$Q$16-$E21*IF($B$11="USD",$B$35,1))-$B$20</f>
        <v>34512.8</v>
      </c>
      <c r="K21" s="15" t="n">
        <f aca="false">$B$12*((1-$B$19)*(-$Q$17+$B$13*(1-K$16)*$Q$14+$B$13*K$16*$Q$15)-$B$13*(1-K$16)*$Q$16-$E21*IF($B$11="USD",$B$35,1))-$B$20</f>
        <v>21776</v>
      </c>
      <c r="L21" s="15" t="n">
        <f aca="false">$B$12*((1-$B$19)*(-$Q$17+$B$13*(1-L$16)*$Q$14+$B$13*L$16*$Q$15)-$B$13*(1-L$16)*$Q$16-$E21*IF($B$11="USD",$B$35,1))-$B$20</f>
        <v>9039.19999999999</v>
      </c>
      <c r="P21" s="2" t="s">
        <v>70</v>
      </c>
      <c r="Q21" s="16" t="n">
        <f aca="false">ROUND(Q19+Q20*B14-B63,6)</f>
        <v>0</v>
      </c>
    </row>
    <row r="22" customFormat="false" ht="15" hidden="false" customHeight="false" outlineLevel="0" collapsed="false">
      <c r="A22" s="3" t="s">
        <v>71</v>
      </c>
      <c r="B22" s="3"/>
      <c r="C22" s="3"/>
      <c r="E22" s="29" t="n">
        <f aca="false">$B$10*2</f>
        <v>4</v>
      </c>
      <c r="F22" s="15" t="n">
        <f aca="false">$B$12*((1-$B$19)*(-$Q$17+$B$13*(1-F$16)*$Q$14+$B$13*F$16*$Q$15)-$B$13*(1-F$16)*$Q$16-$E22*IF($B$11="USD",$B$35,1))-$B$20</f>
        <v>57154.8</v>
      </c>
      <c r="G22" s="15" t="n">
        <f aca="false">$B$12*((1-$B$19)*(-$Q$17+$B$13*(1-G$16)*$Q$14+$B$13*G$16*$Q$15)-$B$13*(1-G$16)*$Q$16-$E22*IF($B$11="USD",$B$35,1))-$B$20</f>
        <v>44418</v>
      </c>
      <c r="H22" s="15" t="n">
        <f aca="false">$B$12*((1-$B$19)*(-$Q$17+$B$13*(1-H$16)*$Q$14+$B$13*H$16*$Q$15)-$B$13*(1-H$16)*$Q$16-$E22*IF($B$11="USD",$B$35,1))-$B$20</f>
        <v>38049.6</v>
      </c>
      <c r="I22" s="15" t="n">
        <f aca="false">$B$12*((1-$B$19)*(-$Q$17+$B$13*(1-I$16)*$Q$14+$B$13*I$16*$Q$15)-$B$13*(1-I$16)*$Q$16-$E22*IF($B$11="USD",$B$35,1))-$B$20</f>
        <v>31681.2</v>
      </c>
      <c r="J22" s="15" t="n">
        <f aca="false">$B$12*((1-$B$19)*(-$Q$17+$B$13*(1-J$16)*$Q$14+$B$13*J$16*$Q$15)-$B$13*(1-J$16)*$Q$16-$E22*IF($B$11="USD",$B$35,1))-$B$20</f>
        <v>25312.8</v>
      </c>
      <c r="K22" s="15" t="n">
        <f aca="false">$B$12*((1-$B$19)*(-$Q$17+$B$13*(1-K$16)*$Q$14+$B$13*K$16*$Q$15)-$B$13*(1-K$16)*$Q$16-$E22*IF($B$11="USD",$B$35,1))-$B$20</f>
        <v>12576</v>
      </c>
      <c r="L22" s="15" t="n">
        <f aca="false">$B$12*((1-$B$19)*(-$Q$17+$B$13*(1-L$16)*$Q$14+$B$13*L$16*$Q$15)-$B$13*(1-L$16)*$Q$16-$E22*IF($B$11="USD",$B$35,1))-$B$20</f>
        <v>-160.800000000009</v>
      </c>
      <c r="P22" s="2" t="s">
        <v>72</v>
      </c>
      <c r="Q22" s="16" t="n">
        <f aca="false">ROUND(IF(J10=0,0,SUMPRODUCT(M7:M9,J7:J9)/J10)-B63,6)</f>
        <v>0</v>
      </c>
    </row>
    <row r="23" customFormat="false" ht="15" hidden="false" customHeight="false" outlineLevel="0" collapsed="false">
      <c r="A23" s="2" t="s">
        <v>73</v>
      </c>
      <c r="B23" s="31" t="n">
        <f aca="false">MATCH(B5,'COD Network Fees'!$A$5:$A$23,0)</f>
        <v>7</v>
      </c>
      <c r="C23" s="2" t="s">
        <v>74</v>
      </c>
      <c r="E23" s="29" t="n">
        <f aca="false">$B$10*2.5</f>
        <v>5</v>
      </c>
      <c r="F23" s="15" t="n">
        <f aca="false">$B$12*((1-$B$19)*(-$Q$17+$B$13*(1-F$16)*$Q$14+$B$13*F$16*$Q$15)-$B$13*(1-F$16)*$Q$16-$E23*IF($B$11="USD",$B$35,1))-$B$20</f>
        <v>47954.8</v>
      </c>
      <c r="G23" s="15" t="n">
        <f aca="false">$B$12*((1-$B$19)*(-$Q$17+$B$13*(1-G$16)*$Q$14+$B$13*G$16*$Q$15)-$B$13*(1-G$16)*$Q$16-$E23*IF($B$11="USD",$B$35,1))-$B$20</f>
        <v>35218</v>
      </c>
      <c r="H23" s="15" t="n">
        <f aca="false">$B$12*((1-$B$19)*(-$Q$17+$B$13*(1-H$16)*$Q$14+$B$13*H$16*$Q$15)-$B$13*(1-H$16)*$Q$16-$E23*IF($B$11="USD",$B$35,1))-$B$20</f>
        <v>28849.6</v>
      </c>
      <c r="I23" s="15" t="n">
        <f aca="false">$B$12*((1-$B$19)*(-$Q$17+$B$13*(1-I$16)*$Q$14+$B$13*I$16*$Q$15)-$B$13*(1-I$16)*$Q$16-$E23*IF($B$11="USD",$B$35,1))-$B$20</f>
        <v>22481.2</v>
      </c>
      <c r="J23" s="15" t="n">
        <f aca="false">$B$12*((1-$B$19)*(-$Q$17+$B$13*(1-J$16)*$Q$14+$B$13*J$16*$Q$15)-$B$13*(1-J$16)*$Q$16-$E23*IF($B$11="USD",$B$35,1))-$B$20</f>
        <v>16112.8</v>
      </c>
      <c r="K23" s="15" t="n">
        <f aca="false">$B$12*((1-$B$19)*(-$Q$17+$B$13*(1-K$16)*$Q$14+$B$13*K$16*$Q$15)-$B$13*(1-K$16)*$Q$16-$E23*IF($B$11="USD",$B$35,1))-$B$20</f>
        <v>3376</v>
      </c>
      <c r="L23" s="15" t="n">
        <f aca="false">$B$12*((1-$B$19)*(-$Q$17+$B$13*(1-L$16)*$Q$14+$B$13*L$16*$Q$15)-$B$13*(1-L$16)*$Q$16-$E23*IF($B$11="USD",$B$35,1))-$B$20</f>
        <v>-9360.80000000001</v>
      </c>
    </row>
    <row r="24" customFormat="false" ht="15" hidden="false" customHeight="false" outlineLevel="0" collapsed="false">
      <c r="A24" s="5" t="s">
        <v>75</v>
      </c>
      <c r="B24" s="32" t="str">
        <f aca="false">INDEX('COD Network Fees'!$B$5:$B$23,$B$23)</f>
        <v>Morocco</v>
      </c>
      <c r="C24" s="2"/>
      <c r="E24" s="2" t="s">
        <v>76</v>
      </c>
    </row>
    <row r="25" customFormat="false" ht="15" hidden="false" customHeight="false" outlineLevel="0" collapsed="false">
      <c r="A25" s="5" t="s">
        <v>77</v>
      </c>
      <c r="B25" s="32" t="str">
        <f aca="false">INDEX('COD Network Fees'!$C$5:$C$23,$B$23)</f>
        <v>MAD</v>
      </c>
      <c r="C25" s="2" t="s">
        <v>78</v>
      </c>
    </row>
    <row r="26" customFormat="false" ht="15" hidden="false" customHeight="false" outlineLevel="0" collapsed="false">
      <c r="A26" s="5" t="s">
        <v>79</v>
      </c>
      <c r="B26" s="33" t="n">
        <f aca="false">IF($B$7="Yes",IF($B$6="Cosmetic",INDEX('COD Network Fees'!$G$5:$G$23,$B$23),INDEX('COD Network Fees'!$D$5:$D$23,$B$23)),0)</f>
        <v>2</v>
      </c>
      <c r="C26" s="2"/>
    </row>
    <row r="27" customFormat="false" ht="15" hidden="false" customHeight="false" outlineLevel="0" collapsed="false">
      <c r="A27" s="5" t="s">
        <v>80</v>
      </c>
      <c r="B27" s="33" t="n">
        <f aca="false">IF($B$7="Yes",IF($B$6="Cosmetic",INDEX('COD Network Fees'!$H$5:$H$23,$B$23),INDEX('COD Network Fees'!$E$5:$E$23,$B$23)),0)</f>
        <v>4</v>
      </c>
      <c r="C27" s="2"/>
    </row>
    <row r="28" customFormat="false" ht="15" hidden="false" customHeight="false" outlineLevel="0" collapsed="false">
      <c r="A28" s="5" t="s">
        <v>81</v>
      </c>
      <c r="B28" s="33" t="n">
        <f aca="false">IF($B$7="Yes",IF($B$6="Cosmetic",INDEX('COD Network Fees'!$I$5:$I$23,$B$23),INDEX('COD Network Fees'!$F$5:$F$23,$B$23)),0)</f>
        <v>7</v>
      </c>
      <c r="C28" s="2"/>
    </row>
    <row r="29" customFormat="false" ht="15" hidden="false" customHeight="false" outlineLevel="0" collapsed="false">
      <c r="A29" s="5" t="s">
        <v>82</v>
      </c>
      <c r="B29" s="33" t="n">
        <f aca="false">IF($B$7="Yes",INDEX('COD Network Fees'!$J$5:$J$23,$B$23),0)</f>
        <v>5</v>
      </c>
      <c r="C29" s="2"/>
    </row>
    <row r="30" customFormat="false" ht="15" hidden="false" customHeight="false" outlineLevel="0" collapsed="false">
      <c r="A30" s="5" t="s">
        <v>83</v>
      </c>
      <c r="B30" s="33" t="n">
        <f aca="false">IF(AND($B$7="No",INDEX('COD Network Fees'!$M$5:$M$23,$B$23)&lt;&gt;""),INDEX('COD Network Fees'!$M$5:$M$23,$B$23),INDEX('COD Network Fees'!$K$5:$K$23,$B$23))</f>
        <v>35</v>
      </c>
      <c r="C30" s="2" t="s">
        <v>84</v>
      </c>
    </row>
    <row r="31" customFormat="false" ht="15" hidden="false" customHeight="false" outlineLevel="0" collapsed="false">
      <c r="A31" s="5" t="s">
        <v>85</v>
      </c>
      <c r="B31" s="33" t="n">
        <f aca="false">IF(AND($B$7="No",INDEX('COD Network Fees'!$M$5:$M$23,$B$23)&lt;&gt;""),INDEX('COD Network Fees'!$M$5:$M$23,$B$23),INDEX('COD Network Fees'!$L$5:$L$23,$B$23))</f>
        <v>9</v>
      </c>
      <c r="C31" s="2"/>
    </row>
    <row r="32" customFormat="false" ht="15" hidden="false" customHeight="false" outlineLevel="0" collapsed="false">
      <c r="A32" s="5" t="s">
        <v>86</v>
      </c>
      <c r="B32" s="33" t="n">
        <f aca="false">INDEX('COD Network Fees'!$N$5:$N$23,$B$23)</f>
        <v>8</v>
      </c>
      <c r="C32" s="2" t="s">
        <v>87</v>
      </c>
    </row>
    <row r="33" customFormat="false" ht="15" hidden="false" customHeight="false" outlineLevel="0" collapsed="false">
      <c r="A33" s="5" t="s">
        <v>88</v>
      </c>
      <c r="B33" s="33" t="n">
        <f aca="false">IF(SUM($J$7:$J$9)=0,0,SUMPRODUCT($P$7:$P$9,$J$7:$J$9)/SUM($J$7:$J$9))</f>
        <v>0</v>
      </c>
      <c r="C33" s="2" t="s">
        <v>89</v>
      </c>
    </row>
    <row r="34" customFormat="false" ht="15" hidden="false" customHeight="false" outlineLevel="0" collapsed="false">
      <c r="A34" s="5" t="s">
        <v>90</v>
      </c>
      <c r="B34" s="34" t="n">
        <f aca="false">INDEX('COD Network Fees'!$P$5:$P$23,$B$23)</f>
        <v>0</v>
      </c>
      <c r="C34" s="2"/>
    </row>
    <row r="35" customFormat="false" ht="15" hidden="false" customHeight="false" outlineLevel="0" collapsed="false">
      <c r="A35" s="5" t="s">
        <v>91</v>
      </c>
      <c r="B35" s="35" t="n">
        <f aca="false">INDEX('COD Network Fees'!$B$27:$B$29,MATCH($B$25,'COD Network Fees'!$A$27:$A$29,0))</f>
        <v>9.2</v>
      </c>
      <c r="C35" s="2" t="s">
        <v>92</v>
      </c>
    </row>
    <row r="36" customFormat="false" ht="15" hidden="false" customHeight="false" outlineLevel="0" collapsed="false">
      <c r="A36" s="5" t="s">
        <v>93</v>
      </c>
      <c r="B36" s="17" t="n">
        <f aca="false">IF($B$11="USD",$B$10*$B$35,$B$10)</f>
        <v>18.4</v>
      </c>
      <c r="C36" s="2"/>
    </row>
    <row r="38" customFormat="false" ht="15" hidden="false" customHeight="false" outlineLevel="0" collapsed="false">
      <c r="A38" s="3" t="s">
        <v>94</v>
      </c>
      <c r="B38" s="3"/>
      <c r="C38" s="3"/>
    </row>
    <row r="39" customFormat="false" ht="15" hidden="false" customHeight="false" outlineLevel="0" collapsed="false">
      <c r="A39" s="5" t="s">
        <v>95</v>
      </c>
      <c r="B39" s="36" t="n">
        <f aca="false">B12</f>
        <v>1000</v>
      </c>
      <c r="C39" s="2"/>
    </row>
    <row r="40" customFormat="false" ht="15" hidden="false" customHeight="false" outlineLevel="0" collapsed="false">
      <c r="A40" s="5" t="s">
        <v>96</v>
      </c>
      <c r="B40" s="36" t="n">
        <f aca="false">B39*B13</f>
        <v>600</v>
      </c>
      <c r="C40" s="2"/>
    </row>
    <row r="41" customFormat="false" ht="15" hidden="false" customHeight="false" outlineLevel="0" collapsed="false">
      <c r="A41" s="5" t="s">
        <v>97</v>
      </c>
      <c r="B41" s="36" t="n">
        <f aca="false">B40*(1-B14)</f>
        <v>390</v>
      </c>
      <c r="C41" s="2" t="str">
        <f aca="false">"= "&amp;TEXT(B41*$H$10,"#,##0")&amp;" units delivered (incl. free units)"</f>
        <v>= 663 units delivered (incl. free units)</v>
      </c>
    </row>
    <row r="42" customFormat="false" ht="15" hidden="false" customHeight="false" outlineLevel="0" collapsed="false">
      <c r="A42" s="5" t="s">
        <v>98</v>
      </c>
      <c r="B42" s="36" t="n">
        <f aca="false">B40*B14</f>
        <v>210</v>
      </c>
      <c r="C42" s="2"/>
    </row>
    <row r="43" customFormat="false" ht="15" hidden="false" customHeight="false" outlineLevel="0" collapsed="false">
      <c r="A43" s="5" t="s">
        <v>99</v>
      </c>
      <c r="B43" s="36" t="n">
        <f aca="false">B41*B15</f>
        <v>0</v>
      </c>
      <c r="C43" s="2"/>
    </row>
    <row r="44" customFormat="false" ht="15" hidden="false" customHeight="false" outlineLevel="0" collapsed="false">
      <c r="A44" s="5" t="s">
        <v>100</v>
      </c>
      <c r="B44" s="37" t="n">
        <f aca="false">IF(B39=0,0,B41/B39)</f>
        <v>0.39</v>
      </c>
      <c r="C44" s="2" t="s">
        <v>101</v>
      </c>
    </row>
    <row r="46" customFormat="false" ht="15" hidden="false" customHeight="false" outlineLevel="0" collapsed="false">
      <c r="A46" s="3" t="s">
        <v>102</v>
      </c>
      <c r="B46" s="3"/>
      <c r="C46" s="3"/>
    </row>
    <row r="47" customFormat="false" ht="15" hidden="false" customHeight="false" outlineLevel="0" collapsed="false">
      <c r="A47" s="5" t="s">
        <v>103</v>
      </c>
      <c r="B47" s="36" t="n">
        <f aca="false">B41*B8</f>
        <v>124410</v>
      </c>
      <c r="C47" s="2"/>
    </row>
    <row r="48" customFormat="false" ht="15" hidden="false" customHeight="false" outlineLevel="0" collapsed="false">
      <c r="A48" s="5" t="s">
        <v>104</v>
      </c>
      <c r="B48" s="36" t="n">
        <f aca="false">B43*B16</f>
        <v>0</v>
      </c>
      <c r="C48" s="2"/>
    </row>
    <row r="49" customFormat="false" ht="15" hidden="false" customHeight="false" outlineLevel="0" collapsed="false">
      <c r="A49" s="38" t="s">
        <v>105</v>
      </c>
      <c r="B49" s="39" t="n">
        <f aca="false">B47+B48</f>
        <v>124410</v>
      </c>
      <c r="C49" s="2"/>
    </row>
    <row r="50" customFormat="false" ht="15" hidden="false" customHeight="false" outlineLevel="0" collapsed="false">
      <c r="A50" s="5" t="s">
        <v>106</v>
      </c>
      <c r="B50" s="36" t="n">
        <f aca="false">B39*B26+B40*B27+B41*B28+B43*B29</f>
        <v>7130</v>
      </c>
      <c r="C50" s="2" t="s">
        <v>107</v>
      </c>
    </row>
    <row r="51" customFormat="false" ht="15" hidden="false" customHeight="false" outlineLevel="0" collapsed="false">
      <c r="A51" s="5" t="s">
        <v>108</v>
      </c>
      <c r="B51" s="36" t="n">
        <f aca="false">B41*B30</f>
        <v>13650</v>
      </c>
      <c r="C51" s="2"/>
    </row>
    <row r="52" customFormat="false" ht="15" hidden="false" customHeight="false" outlineLevel="0" collapsed="false">
      <c r="A52" s="5" t="s">
        <v>109</v>
      </c>
      <c r="B52" s="36" t="n">
        <f aca="false">B42*B31</f>
        <v>1890</v>
      </c>
      <c r="C52" s="2"/>
    </row>
    <row r="53" customFormat="false" ht="15" hidden="false" customHeight="false" outlineLevel="0" collapsed="false">
      <c r="A53" s="5" t="s">
        <v>110</v>
      </c>
      <c r="B53" s="36" t="n">
        <f aca="false">B40*B32</f>
        <v>4800</v>
      </c>
      <c r="C53" s="2"/>
    </row>
    <row r="54" customFormat="false" ht="15" hidden="false" customHeight="false" outlineLevel="0" collapsed="false">
      <c r="A54" s="5" t="s">
        <v>111</v>
      </c>
      <c r="B54" s="36" t="n">
        <f aca="false">B40*B33</f>
        <v>0</v>
      </c>
      <c r="C54" s="2"/>
    </row>
    <row r="55" customFormat="false" ht="15" hidden="false" customHeight="false" outlineLevel="0" collapsed="false">
      <c r="A55" s="5" t="s">
        <v>112</v>
      </c>
      <c r="B55" s="36" t="n">
        <f aca="false">B49*B34</f>
        <v>0</v>
      </c>
      <c r="C55" s="2"/>
    </row>
    <row r="56" customFormat="false" ht="15" hidden="false" customHeight="false" outlineLevel="0" collapsed="false">
      <c r="A56" s="38" t="s">
        <v>113</v>
      </c>
      <c r="B56" s="39" t="n">
        <f aca="false">SUM(B50:B55)</f>
        <v>27470</v>
      </c>
      <c r="C56" s="2"/>
    </row>
    <row r="57" customFormat="false" ht="15" hidden="false" customHeight="false" outlineLevel="0" collapsed="false">
      <c r="A57" s="38" t="s">
        <v>114</v>
      </c>
      <c r="B57" s="39" t="n">
        <f aca="false">B49-B56</f>
        <v>96940</v>
      </c>
      <c r="C57" s="2" t="s">
        <v>115</v>
      </c>
    </row>
    <row r="58" customFormat="false" ht="15" hidden="false" customHeight="false" outlineLevel="0" collapsed="false">
      <c r="A58" s="5" t="s">
        <v>116</v>
      </c>
      <c r="B58" s="36" t="n">
        <f aca="false">B57*B19</f>
        <v>1938.8</v>
      </c>
      <c r="C58" s="2"/>
    </row>
    <row r="59" customFormat="false" ht="15" hidden="false" customHeight="false" outlineLevel="0" collapsed="false">
      <c r="A59" s="5" t="s">
        <v>117</v>
      </c>
      <c r="B59" s="36" t="n">
        <f aca="false">B39*B36</f>
        <v>18400</v>
      </c>
      <c r="C59" s="2" t="s">
        <v>118</v>
      </c>
    </row>
    <row r="60" customFormat="false" ht="15" hidden="false" customHeight="false" outlineLevel="0" collapsed="false">
      <c r="A60" s="5" t="s">
        <v>119</v>
      </c>
      <c r="B60" s="36" t="n">
        <f aca="false">B41*$H$10*B9+B43*B17</f>
        <v>26520</v>
      </c>
      <c r="C60" s="2" t="s">
        <v>120</v>
      </c>
    </row>
    <row r="61" customFormat="false" ht="15" hidden="false" customHeight="false" outlineLevel="0" collapsed="false">
      <c r="A61" s="5" t="s">
        <v>121</v>
      </c>
      <c r="B61" s="36" t="n">
        <f aca="false">B20</f>
        <v>0</v>
      </c>
      <c r="C61" s="2"/>
    </row>
    <row r="62" customFormat="false" ht="15" hidden="false" customHeight="false" outlineLevel="0" collapsed="false">
      <c r="A62" s="38" t="s">
        <v>122</v>
      </c>
      <c r="B62" s="39" t="n">
        <f aca="false">B56+B58+B59+B60+B61</f>
        <v>74328.8</v>
      </c>
      <c r="C62" s="2"/>
    </row>
    <row r="63" customFormat="false" ht="16.15" hidden="false" customHeight="false" outlineLevel="0" collapsed="false">
      <c r="A63" s="40" t="s">
        <v>123</v>
      </c>
      <c r="B63" s="41" t="n">
        <f aca="false">B49-B62</f>
        <v>50081.2</v>
      </c>
      <c r="C63" s="42" t="str">
        <f aca="false">"Net profit in USD: "&amp;TEXT(B63/B35,"#,##0")</f>
        <v>Net profit in USD: 5,444</v>
      </c>
    </row>
    <row r="65" customFormat="false" ht="15" hidden="false" customHeight="false" outlineLevel="0" collapsed="false">
      <c r="A65" s="3" t="s">
        <v>124</v>
      </c>
      <c r="B65" s="3"/>
      <c r="C65" s="3"/>
    </row>
    <row r="66" customFormat="false" ht="15" hidden="false" customHeight="false" outlineLevel="0" collapsed="false">
      <c r="A66" s="5" t="s">
        <v>19</v>
      </c>
      <c r="B66" s="17" t="n">
        <f aca="false">IF(B41=0,0,B63/B41)</f>
        <v>128.413333333333</v>
      </c>
      <c r="C66" s="2"/>
    </row>
    <row r="67" customFormat="false" ht="15" hidden="false" customHeight="false" outlineLevel="0" collapsed="false">
      <c r="A67" s="5" t="s">
        <v>125</v>
      </c>
      <c r="B67" s="37" t="n">
        <f aca="false">IF(B49=0,0,B63/B49)</f>
        <v>0.402549634273772</v>
      </c>
      <c r="C67" s="2"/>
    </row>
    <row r="68" customFormat="false" ht="15" hidden="false" customHeight="false" outlineLevel="0" collapsed="false">
      <c r="A68" s="5" t="s">
        <v>126</v>
      </c>
      <c r="B68" s="37" t="n">
        <f aca="false">IF((B59+B60)=0,0,B63/(B59+B60))</f>
        <v>1.11489759572573</v>
      </c>
      <c r="C68" s="2"/>
    </row>
    <row r="69" customFormat="false" ht="15" hidden="false" customHeight="false" outlineLevel="0" collapsed="false">
      <c r="A69" s="5" t="s">
        <v>127</v>
      </c>
      <c r="B69" s="43" t="n">
        <f aca="false">IF(B59=0,0,B49/B59)</f>
        <v>6.76141304347826</v>
      </c>
      <c r="C69" s="2"/>
    </row>
    <row r="70" customFormat="false" ht="15" hidden="false" customHeight="false" outlineLevel="0" collapsed="false">
      <c r="A70" s="5" t="s">
        <v>128</v>
      </c>
      <c r="B70" s="17" t="n">
        <f aca="false">IF(B41=0,0,B59/B41)</f>
        <v>47.1794871794872</v>
      </c>
      <c r="C70" s="2"/>
    </row>
    <row r="71" customFormat="false" ht="15" hidden="false" customHeight="false" outlineLevel="0" collapsed="false">
      <c r="A71" s="5" t="s">
        <v>129</v>
      </c>
      <c r="B71" s="17" t="n">
        <f aca="false">IF(B41=0,0,(B62-B60)/B41)</f>
        <v>122.586666666667</v>
      </c>
      <c r="C71" s="2" t="s">
        <v>130</v>
      </c>
    </row>
    <row r="72" customFormat="false" ht="15" hidden="false" customHeight="false" outlineLevel="0" collapsed="false">
      <c r="A72" s="38" t="s">
        <v>21</v>
      </c>
      <c r="B72" s="44" t="n">
        <f aca="false">IF(B39=0,0,(B63+B59)/B39/IF($B$11="USD",$B$35,1))</f>
        <v>7.44360869565217</v>
      </c>
      <c r="C72" s="2" t="str">
        <f aca="false">"Max you can pay per lead, in "&amp;IF($B$11="USD","USD",B25)</f>
        <v>Max you can pay per lead, in USD</v>
      </c>
    </row>
    <row r="73" customFormat="false" ht="15" hidden="false" customHeight="false" outlineLevel="0" collapsed="false">
      <c r="A73" s="38" t="s">
        <v>131</v>
      </c>
      <c r="B73" s="44" t="n">
        <f aca="false">IF(B41*(1-B34)*(1-B19)=0,0,B8-B63/(B41*(1-B34)*(1-B19)))</f>
        <v>187.965986394558</v>
      </c>
      <c r="C73" s="2" t="str">
        <f aca="false">"Lowest average order value with zero profit, in "&amp;B25</f>
        <v>Lowest average order value with zero profit, in MAD</v>
      </c>
    </row>
    <row r="74" customFormat="false" ht="15" hidden="false" customHeight="false" outlineLevel="0" collapsed="false">
      <c r="A74" s="38" t="s">
        <v>132</v>
      </c>
      <c r="B74" s="45" t="n">
        <f aca="false">IF(Q20&gt;=0,"n/a",IF(-Q19/Q20&lt;0,"Loss even at 0%",IF(-Q19/Q20&gt;1,"Profit at any rate",-Q19/Q20)))</f>
        <v>0.7432008039696</v>
      </c>
      <c r="C74" s="2" t="s">
        <v>133</v>
      </c>
    </row>
  </sheetData>
  <mergeCells count="8">
    <mergeCell ref="A1:C1"/>
    <mergeCell ref="A4:C4"/>
    <mergeCell ref="E4:N4"/>
    <mergeCell ref="E14:L14"/>
    <mergeCell ref="A22:C22"/>
    <mergeCell ref="A38:C38"/>
    <mergeCell ref="A46:C46"/>
    <mergeCell ref="A65:C65"/>
  </mergeCells>
  <conditionalFormatting sqref="B6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E11">
    <cfRule type="expression" priority="4" aboveAverage="0" equalAverage="0" bottom="0" percent="0" rank="0" text="" dxfId="2">
      <formula>ROUND($J$10,4)&lt;&gt;1</formula>
    </cfRule>
  </conditionalFormatting>
  <conditionalFormatting sqref="L7:M10">
    <cfRule type="cellIs" priority="5" operator="lessThan" aboveAverage="0" equalAverage="0" bottom="0" percent="0" rank="0" text="" dxfId="2">
      <formula>0</formula>
    </cfRule>
    <cfRule type="cellIs" priority="6" operator="greaterThan" aboveAverage="0" equalAverage="0" bottom="0" percent="0" rank="0" text="" dxfId="3">
      <formula>0</formula>
    </cfRule>
  </conditionalFormatting>
  <conditionalFormatting sqref="F17:L23">
    <cfRule type="colorScale" priority="7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dataValidations count="5">
    <dataValidation allowBlank="false" errorStyle="stop" operator="between" showDropDown="false" showErrorMessage="false" showInputMessage="false" sqref="B5" type="list">
      <formula1>'COD Network Fees'!$A$5:$A$23</formula1>
      <formula2>0</formula2>
    </dataValidation>
    <dataValidation allowBlank="false" errorStyle="stop" operator="between" showDropDown="false" showErrorMessage="false" showInputMessage="false" sqref="B6" type="list">
      <formula1>"Gadget,Cosmetic"</formula1>
      <formula2>0</formula2>
    </dataValidation>
    <dataValidation allowBlank="false" errorStyle="stop" operator="between" showDropDown="false" showErrorMessage="false" showInputMessage="false" sqref="B7" type="list">
      <formula1>"Yes,No"</formula1>
      <formula2>0</formula2>
    </dataValidation>
    <dataValidation allowBlank="false" errorStyle="stop" operator="between" showDropDown="false" showErrorMessage="false" showInputMessage="false" sqref="B11" type="list">
      <formula1>"USD,Market currency"</formula1>
      <formula2>0</formula2>
    </dataValidation>
    <dataValidation allowBlank="false" error="Enter a percentage between 0% and 100%" errorStyle="stop" operator="between" showDropDown="false" showErrorMessage="false" showInputMessage="false" sqref="J7:J9 B13:B15 B1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9"/>
    <col collapsed="false" customWidth="true" hidden="false" outlineLevel="0" max="11" min="9" style="0" width="11"/>
    <col collapsed="false" customWidth="true" hidden="false" outlineLevel="0" max="12" min="12" style="0" width="10"/>
    <col collapsed="false" customWidth="true" hidden="false" outlineLevel="0" max="13" min="13" style="0" width="15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1"/>
    <col collapsed="false" customWidth="true" hidden="false" outlineLevel="0" max="21" min="19" style="0" width="10"/>
    <col collapsed="false" customWidth="true" hidden="false" outlineLevel="0" max="22" min="22" style="0" width="12"/>
    <col collapsed="false" customWidth="true" hidden="false" outlineLevel="0" max="23" min="23" style="0" width="11"/>
    <col collapsed="false" customWidth="true" hidden="false" outlineLevel="0" max="25" min="24" style="0" width="12"/>
    <col collapsed="false" customWidth="true" hidden="false" outlineLevel="0" max="27" min="26" style="0" width="11"/>
    <col collapsed="false" customWidth="true" hidden="false" outlineLevel="0" max="28" min="28" style="0" width="10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1"/>
    <col collapsed="false" customWidth="true" hidden="false" outlineLevel="0" max="33" min="32" style="0" width="9"/>
    <col collapsed="false" customWidth="true" hidden="false" outlineLevel="0" max="34" min="34" style="0" width="12"/>
    <col collapsed="false" customWidth="true" hidden="false" outlineLevel="0" max="35" min="35" style="0" width="6"/>
  </cols>
  <sheetData>
    <row r="1" customFormat="false" ht="17.35" hidden="false" customHeight="false" outlineLevel="0" collapsed="false">
      <c r="A1" s="46" t="s">
        <v>134</v>
      </c>
    </row>
    <row r="2" customFormat="false" ht="15" hidden="false" customHeight="false" outlineLevel="0" collapsed="false">
      <c r="A2" s="2" t="s">
        <v>135</v>
      </c>
    </row>
    <row r="4" customFormat="false" ht="45" hidden="false" customHeight="true" outlineLevel="0" collapsed="false">
      <c r="A4" s="47" t="s">
        <v>136</v>
      </c>
      <c r="B4" s="47" t="s">
        <v>137</v>
      </c>
      <c r="C4" s="47" t="s">
        <v>138</v>
      </c>
      <c r="D4" s="47" t="s">
        <v>139</v>
      </c>
      <c r="E4" s="47" t="s">
        <v>140</v>
      </c>
      <c r="F4" s="47" t="s">
        <v>141</v>
      </c>
      <c r="G4" s="47" t="s">
        <v>142</v>
      </c>
      <c r="H4" s="47" t="s">
        <v>143</v>
      </c>
      <c r="I4" s="47" t="s">
        <v>144</v>
      </c>
      <c r="J4" s="47" t="s">
        <v>145</v>
      </c>
      <c r="K4" s="47" t="s">
        <v>146</v>
      </c>
      <c r="L4" s="47" t="s">
        <v>147</v>
      </c>
      <c r="M4" s="47" t="s">
        <v>148</v>
      </c>
      <c r="N4" s="47" t="s">
        <v>95</v>
      </c>
      <c r="O4" s="47" t="s">
        <v>44</v>
      </c>
      <c r="P4" s="47" t="s">
        <v>47</v>
      </c>
      <c r="Q4" s="7" t="s">
        <v>77</v>
      </c>
      <c r="R4" s="7" t="s">
        <v>149</v>
      </c>
      <c r="S4" s="7" t="s">
        <v>150</v>
      </c>
      <c r="T4" s="7" t="s">
        <v>151</v>
      </c>
      <c r="U4" s="7" t="s">
        <v>152</v>
      </c>
      <c r="V4" s="7" t="s">
        <v>153</v>
      </c>
      <c r="W4" s="7" t="s">
        <v>117</v>
      </c>
      <c r="X4" s="7" t="s">
        <v>154</v>
      </c>
      <c r="Y4" s="7" t="s">
        <v>106</v>
      </c>
      <c r="Z4" s="7" t="s">
        <v>155</v>
      </c>
      <c r="AA4" s="7" t="s">
        <v>110</v>
      </c>
      <c r="AB4" s="7" t="s">
        <v>112</v>
      </c>
      <c r="AC4" s="7" t="s">
        <v>156</v>
      </c>
      <c r="AD4" s="7" t="s">
        <v>123</v>
      </c>
      <c r="AE4" s="7" t="s">
        <v>157</v>
      </c>
      <c r="AF4" s="7" t="s">
        <v>158</v>
      </c>
      <c r="AG4" s="7" t="s">
        <v>159</v>
      </c>
      <c r="AH4" s="7" t="s">
        <v>160</v>
      </c>
      <c r="AI4" s="7" t="s">
        <v>161</v>
      </c>
    </row>
    <row r="5" customFormat="false" ht="15" hidden="false" customHeight="false" outlineLevel="0" collapsed="false">
      <c r="A5" s="8" t="s">
        <v>162</v>
      </c>
      <c r="B5" s="8" t="s">
        <v>5</v>
      </c>
      <c r="C5" s="8" t="s">
        <v>10</v>
      </c>
      <c r="D5" s="8" t="s">
        <v>27</v>
      </c>
      <c r="E5" s="11" t="n">
        <v>249</v>
      </c>
      <c r="F5" s="11" t="n">
        <v>349</v>
      </c>
      <c r="G5" s="11" t="n">
        <v>449</v>
      </c>
      <c r="H5" s="12" t="n">
        <v>0.5</v>
      </c>
      <c r="I5" s="12" t="n">
        <v>0.3</v>
      </c>
      <c r="J5" s="12" t="n">
        <v>0.2</v>
      </c>
      <c r="K5" s="11" t="n">
        <v>40</v>
      </c>
      <c r="L5" s="11" t="n">
        <v>2</v>
      </c>
      <c r="M5" s="8" t="s">
        <v>39</v>
      </c>
      <c r="N5" s="48" t="n">
        <v>1000</v>
      </c>
      <c r="O5" s="12" t="n">
        <v>0.6</v>
      </c>
      <c r="P5" s="12" t="n">
        <v>0.35</v>
      </c>
      <c r="Q5" s="49" t="str">
        <f aca="false">IF($AI5="","",INDEX('COD Network Fees'!$C$5:$C$23,$AI5))</f>
        <v>MAD</v>
      </c>
      <c r="R5" s="13" t="n">
        <f aca="false">IF($AI5="","",IF(($H5+$I5+$J5)=0,0,($E5*$H5+$F5*$I5+$G5*$J5)/($H5+$I5+$J5)))</f>
        <v>319</v>
      </c>
      <c r="S5" s="50" t="n">
        <f aca="false">IF($AI5="","",IF(($H5+$I5+$J5)=0,0,(Calculator!$H$7*$H5+Calculator!$H$8*$I5+Calculator!$H$9*$J5)/($H5+$I5+$J5)))</f>
        <v>1.7</v>
      </c>
      <c r="T5" s="15" t="n">
        <f aca="false">IF($AI5="","",$N5*$O5)</f>
        <v>600</v>
      </c>
      <c r="U5" s="15" t="n">
        <f aca="false">IF($AI5="","",$T5*(1-$P5))</f>
        <v>390</v>
      </c>
      <c r="V5" s="15" t="n">
        <f aca="false">IF($AI5="","",$U5*$R5)</f>
        <v>124410</v>
      </c>
      <c r="W5" s="15" t="n">
        <f aca="false">IF($AI5="","",$N5*$L5*IF($M5="USD",INDEX('COD Network Fees'!$B$27:$B$29,MATCH($Q5,'COD Network Fees'!$A$27:$A$29,0)),1))</f>
        <v>18400</v>
      </c>
      <c r="X5" s="15" t="n">
        <f aca="false">IF($AI5="","",$U5*$S5*$K5)</f>
        <v>26520</v>
      </c>
      <c r="Y5" s="15" t="n">
        <f aca="false">IF($AI5="","",IF($D5="Yes",1,0)*($N5*IF($C5="Cosmetic",INDEX('COD Network Fees'!$G$5:$G$23,$AI5),INDEX('COD Network Fees'!$D$5:$D$23,$AI5))+$T5*IF($C5="Cosmetic",INDEX('COD Network Fees'!$H$5:$H$23,$AI5),INDEX('COD Network Fees'!$E$5:$E$23,$AI5))+$U5*IF($C5="Cosmetic",INDEX('COD Network Fees'!$I$5:$I$23,$AI5),INDEX('COD Network Fees'!$F$5:$F$23,$AI5))))</f>
        <v>7130</v>
      </c>
      <c r="Z5" s="15" t="n">
        <f aca="false">IF($AI5="","",$U5*IF(AND($D5="No",INDEX('COD Network Fees'!$M$5:$M$23,$AI5)&lt;&gt;""),INDEX('COD Network Fees'!$M$5:$M$23,$AI5),INDEX('COD Network Fees'!$K$5:$K$23,$AI5))+($T5-$U5)*IF(AND($D5="No",INDEX('COD Network Fees'!$M$5:$M$23,$AI5)&lt;&gt;""),INDEX('COD Network Fees'!$M$5:$M$23,$AI5),INDEX('COD Network Fees'!$L$5:$L$23,$AI5)))</f>
        <v>15540</v>
      </c>
      <c r="AA5" s="15" t="n">
        <f aca="false">IF($AI5="","",$T5*INDEX('COD Network Fees'!$N$5:$N$23,$AI5))</f>
        <v>4800</v>
      </c>
      <c r="AB5" s="15" t="n">
        <f aca="false">IF($AI5="","",$V5*INDEX('COD Network Fees'!$P$5:$P$23,$AI5))</f>
        <v>0</v>
      </c>
      <c r="AC5" s="15" t="n">
        <f aca="false">IF($AI5="","",($V5-$Y5-$Z5-$AA5-$AB5)*Calculator!$B$19)</f>
        <v>1938.8</v>
      </c>
      <c r="AD5" s="51" t="n">
        <f aca="false">IF($AI5="","",$V5-$W5-$X5-$Y5-$Z5-$AA5-$AB5-$AC5)</f>
        <v>50081.2</v>
      </c>
      <c r="AE5" s="13" t="n">
        <f aca="false">IF($AI5="","",IF($U5=0,0,$AD5/$U5))</f>
        <v>128.413333333333</v>
      </c>
      <c r="AF5" s="52" t="n">
        <f aca="false">IF($AI5="","",IF($V5=0,0,$AD5/$V5))</f>
        <v>0.402549634273772</v>
      </c>
      <c r="AG5" s="52" t="n">
        <f aca="false">IF($AI5="","",IF(($W5+$X5)=0,0,$AD5/($W5+$X5)))</f>
        <v>1.11489759572573</v>
      </c>
      <c r="AH5" s="13" t="n">
        <f aca="false">IF($AI5="","",IF($N5=0,0,($AD5+$W5)/$N5/IF($M5="USD",INDEX('COD Network Fees'!$B$27:$B$29,MATCH($Q5,'COD Network Fees'!$A$27:$A$29,0)),1)))</f>
        <v>7.44360869565217</v>
      </c>
      <c r="AI5" s="53" t="n">
        <f aca="false">IF($B5="","",MATCH($B5,'COD Network Fees'!$A$5:$A$23,0))</f>
        <v>7</v>
      </c>
    </row>
    <row r="6" customFormat="false" ht="15" hidden="false" customHeight="false" outlineLevel="0" collapsed="false">
      <c r="A6" s="8" t="s">
        <v>163</v>
      </c>
      <c r="B6" s="8" t="s">
        <v>164</v>
      </c>
      <c r="C6" s="8" t="s">
        <v>165</v>
      </c>
      <c r="D6" s="8" t="s">
        <v>27</v>
      </c>
      <c r="E6" s="11" t="n">
        <v>39</v>
      </c>
      <c r="F6" s="11" t="n">
        <v>59</v>
      </c>
      <c r="G6" s="11" t="n">
        <v>79</v>
      </c>
      <c r="H6" s="12" t="n">
        <v>0.6</v>
      </c>
      <c r="I6" s="12" t="n">
        <v>0.25</v>
      </c>
      <c r="J6" s="12" t="n">
        <v>0.15</v>
      </c>
      <c r="K6" s="11" t="n">
        <v>6</v>
      </c>
      <c r="L6" s="11" t="n">
        <v>3</v>
      </c>
      <c r="M6" s="8" t="s">
        <v>39</v>
      </c>
      <c r="N6" s="48" t="n">
        <v>500</v>
      </c>
      <c r="O6" s="12" t="n">
        <v>0.55</v>
      </c>
      <c r="P6" s="12" t="n">
        <v>0.3</v>
      </c>
      <c r="Q6" s="49" t="str">
        <f aca="false">IF($AI6="","",INDEX('COD Network Fees'!$C$5:$C$23,$AI6))</f>
        <v>USD</v>
      </c>
      <c r="R6" s="13" t="n">
        <f aca="false">IF($AI6="","",IF(($H6+$I6+$J6)=0,0,($E6*$H6+$F6*$I6+$G6*$J6)/($H6+$I6+$J6)))</f>
        <v>50</v>
      </c>
      <c r="S6" s="50" t="n">
        <f aca="false">IF($AI6="","",IF(($H6+$I6+$J6)=0,0,(Calculator!$H$7*$H6+Calculator!$H$8*$I6+Calculator!$H$9*$J6)/($H6+$I6+$J6)))</f>
        <v>1.55</v>
      </c>
      <c r="T6" s="15" t="n">
        <f aca="false">IF($AI6="","",$N6*$O6)</f>
        <v>275</v>
      </c>
      <c r="U6" s="15" t="n">
        <f aca="false">IF($AI6="","",$T6*(1-$P6))</f>
        <v>192.5</v>
      </c>
      <c r="V6" s="15" t="n">
        <f aca="false">IF($AI6="","",$U6*$R6)</f>
        <v>9625</v>
      </c>
      <c r="W6" s="15" t="n">
        <f aca="false">IF($AI6="","",$N6*$L6*IF($M6="USD",INDEX('COD Network Fees'!$B$27:$B$29,MATCH($Q6,'COD Network Fees'!$A$27:$A$29,0)),1))</f>
        <v>1500</v>
      </c>
      <c r="X6" s="15" t="n">
        <f aca="false">IF($AI6="","",$U6*$S6*$K6)</f>
        <v>1790.25</v>
      </c>
      <c r="Y6" s="15" t="n">
        <f aca="false">IF($AI6="","",IF($D6="Yes",1,0)*($N6*IF($C6="Cosmetic",INDEX('COD Network Fees'!$G$5:$G$23,$AI6),INDEX('COD Network Fees'!$D$5:$D$23,$AI6))+$T6*IF($C6="Cosmetic",INDEX('COD Network Fees'!$H$5:$H$23,$AI6),INDEX('COD Network Fees'!$E$5:$E$23,$AI6))+$U6*IF($C6="Cosmetic",INDEX('COD Network Fees'!$I$5:$I$23,$AI6),INDEX('COD Network Fees'!$F$5:$F$23,$AI6))))</f>
        <v>1377.5</v>
      </c>
      <c r="Z6" s="15" t="n">
        <f aca="false">IF($AI6="","",$U6*IF(AND($D6="No",INDEX('COD Network Fees'!$M$5:$M$23,$AI6)&lt;&gt;""),INDEX('COD Network Fees'!$M$5:$M$23,$AI6),INDEX('COD Network Fees'!$K$5:$K$23,$AI6))+($T6-$U6)*IF(AND($D6="No",INDEX('COD Network Fees'!$M$5:$M$23,$AI6)&lt;&gt;""),INDEX('COD Network Fees'!$M$5:$M$23,$AI6),INDEX('COD Network Fees'!$L$5:$L$23,$AI6)))</f>
        <v>1207.25</v>
      </c>
      <c r="AA6" s="15" t="n">
        <f aca="false">IF($AI6="","",$T6*INDEX('COD Network Fees'!$N$5:$N$23,$AI6))</f>
        <v>0</v>
      </c>
      <c r="AB6" s="15" t="n">
        <f aca="false">IF($AI6="","",$V6*INDEX('COD Network Fees'!$P$5:$P$23,$AI6))</f>
        <v>481.25</v>
      </c>
      <c r="AC6" s="15" t="n">
        <f aca="false">IF($AI6="","",($V6-$Y6-$Z6-$AA6-$AB6)*Calculator!$B$19)</f>
        <v>131.18</v>
      </c>
      <c r="AD6" s="51" t="n">
        <f aca="false">IF($AI6="","",$V6-$W6-$X6-$Y6-$Z6-$AA6-$AB6-$AC6)</f>
        <v>3137.57</v>
      </c>
      <c r="AE6" s="13" t="n">
        <f aca="false">IF($AI6="","",IF($U6=0,0,$AD6/$U6))</f>
        <v>16.2990649350649</v>
      </c>
      <c r="AF6" s="52" t="n">
        <f aca="false">IF($AI6="","",IF($V6=0,0,$AD6/$V6))</f>
        <v>0.325981298701299</v>
      </c>
      <c r="AG6" s="52" t="n">
        <f aca="false">IF($AI6="","",IF(($W6+$X6)=0,0,$AD6/($W6+$X6)))</f>
        <v>0.953596231289416</v>
      </c>
      <c r="AH6" s="13" t="n">
        <f aca="false">IF($AI6="","",IF($N6=0,0,($AD6+$W6)/$N6/IF($M6="USD",INDEX('COD Network Fees'!$B$27:$B$29,MATCH($Q6,'COD Network Fees'!$A$27:$A$29,0)),1)))</f>
        <v>9.27514</v>
      </c>
      <c r="AI6" s="53" t="n">
        <f aca="false">IF($B6="","",MATCH($B6,'COD Network Fees'!$A$5:$A$23,0))</f>
        <v>2</v>
      </c>
    </row>
    <row r="7" customFormat="false" ht="15" hidden="false" customHeight="false" outlineLevel="0" collapsed="false">
      <c r="A7" s="8" t="s">
        <v>166</v>
      </c>
      <c r="B7" s="8" t="s">
        <v>167</v>
      </c>
      <c r="C7" s="8" t="s">
        <v>165</v>
      </c>
      <c r="D7" s="8" t="s">
        <v>27</v>
      </c>
      <c r="E7" s="11" t="n">
        <v>34.9</v>
      </c>
      <c r="F7" s="11" t="n">
        <v>49.9</v>
      </c>
      <c r="G7" s="11" t="n">
        <v>64.9</v>
      </c>
      <c r="H7" s="12" t="n">
        <v>0.5</v>
      </c>
      <c r="I7" s="12" t="n">
        <v>0.3</v>
      </c>
      <c r="J7" s="12" t="n">
        <v>0.2</v>
      </c>
      <c r="K7" s="11" t="n">
        <v>5</v>
      </c>
      <c r="L7" s="11" t="n">
        <v>2.5</v>
      </c>
      <c r="M7" s="8" t="s">
        <v>168</v>
      </c>
      <c r="N7" s="48" t="n">
        <v>500</v>
      </c>
      <c r="O7" s="12" t="n">
        <v>0.65</v>
      </c>
      <c r="P7" s="12" t="n">
        <v>0.25</v>
      </c>
      <c r="Q7" s="49" t="str">
        <f aca="false">IF($AI7="","",INDEX('COD Network Fees'!$C$5:$C$23,$AI7))</f>
        <v>EUR</v>
      </c>
      <c r="R7" s="13" t="n">
        <f aca="false">IF($AI7="","",IF(($H7+$I7+$J7)=0,0,($E7*$H7+$F7*$I7+$G7*$J7)/($H7+$I7+$J7)))</f>
        <v>45.4</v>
      </c>
      <c r="S7" s="50" t="n">
        <f aca="false">IF($AI7="","",IF(($H7+$I7+$J7)=0,0,(Calculator!$H$7*$H7+Calculator!$H$8*$I7+Calculator!$H$9*$J7)/($H7+$I7+$J7)))</f>
        <v>1.7</v>
      </c>
      <c r="T7" s="15" t="n">
        <f aca="false">IF($AI7="","",$N7*$O7)</f>
        <v>325</v>
      </c>
      <c r="U7" s="15" t="n">
        <f aca="false">IF($AI7="","",$T7*(1-$P7))</f>
        <v>243.75</v>
      </c>
      <c r="V7" s="15" t="n">
        <f aca="false">IF($AI7="","",$U7*$R7)</f>
        <v>11066.25</v>
      </c>
      <c r="W7" s="15" t="n">
        <f aca="false">IF($AI7="","",$N7*$L7*IF($M7="USD",INDEX('COD Network Fees'!$B$27:$B$29,MATCH($Q7,'COD Network Fees'!$A$27:$A$29,0)),1))</f>
        <v>1250</v>
      </c>
      <c r="X7" s="15" t="n">
        <f aca="false">IF($AI7="","",$U7*$S7*$K7)</f>
        <v>2071.875</v>
      </c>
      <c r="Y7" s="15" t="n">
        <f aca="false">IF($AI7="","",IF($D7="Yes",1,0)*($N7*IF($C7="Cosmetic",INDEX('COD Network Fees'!$G$5:$G$23,$AI7),INDEX('COD Network Fees'!$D$5:$D$23,$AI7))+$T7*IF($C7="Cosmetic",INDEX('COD Network Fees'!$H$5:$H$23,$AI7),INDEX('COD Network Fees'!$E$5:$E$23,$AI7))+$U7*IF($C7="Cosmetic",INDEX('COD Network Fees'!$I$5:$I$23,$AI7),INDEX('COD Network Fees'!$F$5:$F$23,$AI7))))</f>
        <v>1062.5</v>
      </c>
      <c r="Z7" s="15" t="n">
        <f aca="false">IF($AI7="","",$U7*IF(AND($D7="No",INDEX('COD Network Fees'!$M$5:$M$23,$AI7)&lt;&gt;""),INDEX('COD Network Fees'!$M$5:$M$23,$AI7),INDEX('COD Network Fees'!$K$5:$K$23,$AI7))+($T7-$U7)*IF(AND($D7="No",INDEX('COD Network Fees'!$M$5:$M$23,$AI7)&lt;&gt;""),INDEX('COD Network Fees'!$M$5:$M$23,$AI7),INDEX('COD Network Fees'!$L$5:$L$23,$AI7)))</f>
        <v>2515.5</v>
      </c>
      <c r="AA7" s="15" t="n">
        <f aca="false">IF($AI7="","",$T7*INDEX('COD Network Fees'!$N$5:$N$23,$AI7))</f>
        <v>0</v>
      </c>
      <c r="AB7" s="15" t="n">
        <f aca="false">IF($AI7="","",$V7*INDEX('COD Network Fees'!$P$5:$P$23,$AI7))</f>
        <v>553.3125</v>
      </c>
      <c r="AC7" s="15" t="n">
        <f aca="false">IF($AI7="","",($V7-$Y7-$Z7-$AA7-$AB7)*Calculator!$B$19)</f>
        <v>138.69875</v>
      </c>
      <c r="AD7" s="51" t="n">
        <f aca="false">IF($AI7="","",$V7-$W7-$X7-$Y7-$Z7-$AA7-$AB7-$AC7)</f>
        <v>3474.36375</v>
      </c>
      <c r="AE7" s="13" t="n">
        <f aca="false">IF($AI7="","",IF($U7=0,0,$AD7/$U7))</f>
        <v>14.2538</v>
      </c>
      <c r="AF7" s="52" t="n">
        <f aca="false">IF($AI7="","",IF($V7=0,0,$AD7/$V7))</f>
        <v>0.313960352422908</v>
      </c>
      <c r="AG7" s="52" t="n">
        <f aca="false">IF($AI7="","",IF(($W7+$X7)=0,0,$AD7/($W7+$X7)))</f>
        <v>1.04590442144873</v>
      </c>
      <c r="AH7" s="13" t="n">
        <f aca="false">IF($AI7="","",IF($N7=0,0,($AD7+$W7)/$N7/IF($M7="USD",INDEX('COD Network Fees'!$B$27:$B$29,MATCH($Q7,'COD Network Fees'!$A$27:$A$29,0)),1)))</f>
        <v>9.4487275</v>
      </c>
      <c r="AI7" s="53" t="n">
        <f aca="false">IF($B7="","",MATCH($B7,'COD Network Fees'!$A$5:$A$23,0))</f>
        <v>8</v>
      </c>
    </row>
    <row r="8" customFormat="false" ht="15" hidden="false" customHeight="false" outlineLevel="0" collapsed="false">
      <c r="A8" s="8"/>
      <c r="B8" s="8"/>
      <c r="C8" s="8"/>
      <c r="D8" s="8"/>
      <c r="E8" s="11"/>
      <c r="F8" s="11"/>
      <c r="G8" s="11"/>
      <c r="H8" s="12"/>
      <c r="I8" s="12"/>
      <c r="J8" s="12"/>
      <c r="K8" s="11"/>
      <c r="L8" s="11"/>
      <c r="M8" s="8"/>
      <c r="N8" s="48"/>
      <c r="O8" s="12"/>
      <c r="P8" s="12"/>
      <c r="Q8" s="49" t="str">
        <f aca="false">IF($AI8="","",INDEX('COD Network Fees'!$C$5:$C$23,$AI8))</f>
        <v/>
      </c>
      <c r="R8" s="13" t="str">
        <f aca="false">IF($AI8="","",IF(($H8+$I8+$J8)=0,0,($E8*$H8+$F8*$I8+$G8*$J8)/($H8+$I8+$J8)))</f>
        <v/>
      </c>
      <c r="S8" s="50" t="str">
        <f aca="false">IF($AI8="","",IF(($H8+$I8+$J8)=0,0,(Calculator!$H$7*$H8+Calculator!$H$8*$I8+Calculator!$H$9*$J8)/($H8+$I8+$J8)))</f>
        <v/>
      </c>
      <c r="T8" s="15" t="str">
        <f aca="false">IF($AI8="","",$N8*$O8)</f>
        <v/>
      </c>
      <c r="U8" s="15" t="str">
        <f aca="false">IF($AI8="","",$T8*(1-$P8))</f>
        <v/>
      </c>
      <c r="V8" s="15" t="str">
        <f aca="false">IF($AI8="","",$U8*$R8)</f>
        <v/>
      </c>
      <c r="W8" s="15" t="str">
        <f aca="false">IF($AI8="","",$N8*$L8*IF($M8="USD",INDEX('COD Network Fees'!$B$27:$B$29,MATCH($Q8,'COD Network Fees'!$A$27:$A$29,0)),1))</f>
        <v/>
      </c>
      <c r="X8" s="15" t="str">
        <f aca="false">IF($AI8="","",$U8*$S8*$K8)</f>
        <v/>
      </c>
      <c r="Y8" s="15" t="str">
        <f aca="false">IF($AI8="","",IF($D8="Yes",1,0)*($N8*IF($C8="Cosmetic",INDEX('COD Network Fees'!$G$5:$G$23,$AI8),INDEX('COD Network Fees'!$D$5:$D$23,$AI8))+$T8*IF($C8="Cosmetic",INDEX('COD Network Fees'!$H$5:$H$23,$AI8),INDEX('COD Network Fees'!$E$5:$E$23,$AI8))+$U8*IF($C8="Cosmetic",INDEX('COD Network Fees'!$I$5:$I$23,$AI8),INDEX('COD Network Fees'!$F$5:$F$23,$AI8))))</f>
        <v/>
      </c>
      <c r="Z8" s="15" t="str">
        <f aca="false">IF($AI8="","",$U8*IF(AND($D8="No",INDEX('COD Network Fees'!$M$5:$M$23,$AI8)&lt;&gt;""),INDEX('COD Network Fees'!$M$5:$M$23,$AI8),INDEX('COD Network Fees'!$K$5:$K$23,$AI8))+($T8-$U8)*IF(AND($D8="No",INDEX('COD Network Fees'!$M$5:$M$23,$AI8)&lt;&gt;""),INDEX('COD Network Fees'!$M$5:$M$23,$AI8),INDEX('COD Network Fees'!$L$5:$L$23,$AI8)))</f>
        <v/>
      </c>
      <c r="AA8" s="15" t="str">
        <f aca="false">IF($AI8="","",$T8*INDEX('COD Network Fees'!$N$5:$N$23,$AI8))</f>
        <v/>
      </c>
      <c r="AB8" s="15" t="str">
        <f aca="false">IF($AI8="","",$V8*INDEX('COD Network Fees'!$P$5:$P$23,$AI8))</f>
        <v/>
      </c>
      <c r="AC8" s="15" t="str">
        <f aca="false">IF($AI8="","",($V8-$Y8-$Z8-$AA8-$AB8)*Calculator!$B$19)</f>
        <v/>
      </c>
      <c r="AD8" s="51" t="str">
        <f aca="false">IF($AI8="","",$V8-$W8-$X8-$Y8-$Z8-$AA8-$AB8-$AC8)</f>
        <v/>
      </c>
      <c r="AE8" s="13" t="str">
        <f aca="false">IF($AI8="","",IF($U8=0,0,$AD8/$U8))</f>
        <v/>
      </c>
      <c r="AF8" s="52" t="str">
        <f aca="false">IF($AI8="","",IF($V8=0,0,$AD8/$V8))</f>
        <v/>
      </c>
      <c r="AG8" s="52" t="str">
        <f aca="false">IF($AI8="","",IF(($W8+$X8)=0,0,$AD8/($W8+$X8)))</f>
        <v/>
      </c>
      <c r="AH8" s="13" t="str">
        <f aca="false">IF($AI8="","",IF($N8=0,0,($AD8+$W8)/$N8/IF($M8="USD",INDEX('COD Network Fees'!$B$27:$B$29,MATCH($Q8,'COD Network Fees'!$A$27:$A$29,0)),1)))</f>
        <v/>
      </c>
      <c r="AI8" s="53" t="str">
        <f aca="false">IF($B8="","",MATCH($B8,'COD Network Fees'!$A$5:$A$23,0))</f>
        <v/>
      </c>
    </row>
    <row r="9" customFormat="false" ht="15" hidden="false" customHeight="false" outlineLevel="0" collapsed="false">
      <c r="A9" s="8"/>
      <c r="B9" s="8"/>
      <c r="C9" s="8"/>
      <c r="D9" s="8"/>
      <c r="E9" s="11"/>
      <c r="F9" s="11"/>
      <c r="G9" s="11"/>
      <c r="H9" s="12"/>
      <c r="I9" s="12"/>
      <c r="J9" s="12"/>
      <c r="K9" s="11"/>
      <c r="L9" s="11"/>
      <c r="M9" s="8"/>
      <c r="N9" s="48"/>
      <c r="O9" s="12"/>
      <c r="P9" s="12"/>
      <c r="Q9" s="49" t="str">
        <f aca="false">IF($AI9="","",INDEX('COD Network Fees'!$C$5:$C$23,$AI9))</f>
        <v/>
      </c>
      <c r="R9" s="13" t="str">
        <f aca="false">IF($AI9="","",IF(($H9+$I9+$J9)=0,0,($E9*$H9+$F9*$I9+$G9*$J9)/($H9+$I9+$J9)))</f>
        <v/>
      </c>
      <c r="S9" s="50" t="str">
        <f aca="false">IF($AI9="","",IF(($H9+$I9+$J9)=0,0,(Calculator!$H$7*$H9+Calculator!$H$8*$I9+Calculator!$H$9*$J9)/($H9+$I9+$J9)))</f>
        <v/>
      </c>
      <c r="T9" s="15" t="str">
        <f aca="false">IF($AI9="","",$N9*$O9)</f>
        <v/>
      </c>
      <c r="U9" s="15" t="str">
        <f aca="false">IF($AI9="","",$T9*(1-$P9))</f>
        <v/>
      </c>
      <c r="V9" s="15" t="str">
        <f aca="false">IF($AI9="","",$U9*$R9)</f>
        <v/>
      </c>
      <c r="W9" s="15" t="str">
        <f aca="false">IF($AI9="","",$N9*$L9*IF($M9="USD",INDEX('COD Network Fees'!$B$27:$B$29,MATCH($Q9,'COD Network Fees'!$A$27:$A$29,0)),1))</f>
        <v/>
      </c>
      <c r="X9" s="15" t="str">
        <f aca="false">IF($AI9="","",$U9*$S9*$K9)</f>
        <v/>
      </c>
      <c r="Y9" s="15" t="str">
        <f aca="false">IF($AI9="","",IF($D9="Yes",1,0)*($N9*IF($C9="Cosmetic",INDEX('COD Network Fees'!$G$5:$G$23,$AI9),INDEX('COD Network Fees'!$D$5:$D$23,$AI9))+$T9*IF($C9="Cosmetic",INDEX('COD Network Fees'!$H$5:$H$23,$AI9),INDEX('COD Network Fees'!$E$5:$E$23,$AI9))+$U9*IF($C9="Cosmetic",INDEX('COD Network Fees'!$I$5:$I$23,$AI9),INDEX('COD Network Fees'!$F$5:$F$23,$AI9))))</f>
        <v/>
      </c>
      <c r="Z9" s="15" t="str">
        <f aca="false">IF($AI9="","",$U9*IF(AND($D9="No",INDEX('COD Network Fees'!$M$5:$M$23,$AI9)&lt;&gt;""),INDEX('COD Network Fees'!$M$5:$M$23,$AI9),INDEX('COD Network Fees'!$K$5:$K$23,$AI9))+($T9-$U9)*IF(AND($D9="No",INDEX('COD Network Fees'!$M$5:$M$23,$AI9)&lt;&gt;""),INDEX('COD Network Fees'!$M$5:$M$23,$AI9),INDEX('COD Network Fees'!$L$5:$L$23,$AI9)))</f>
        <v/>
      </c>
      <c r="AA9" s="15" t="str">
        <f aca="false">IF($AI9="","",$T9*INDEX('COD Network Fees'!$N$5:$N$23,$AI9))</f>
        <v/>
      </c>
      <c r="AB9" s="15" t="str">
        <f aca="false">IF($AI9="","",$V9*INDEX('COD Network Fees'!$P$5:$P$23,$AI9))</f>
        <v/>
      </c>
      <c r="AC9" s="15" t="str">
        <f aca="false">IF($AI9="","",($V9-$Y9-$Z9-$AA9-$AB9)*Calculator!$B$19)</f>
        <v/>
      </c>
      <c r="AD9" s="51" t="str">
        <f aca="false">IF($AI9="","",$V9-$W9-$X9-$Y9-$Z9-$AA9-$AB9-$AC9)</f>
        <v/>
      </c>
      <c r="AE9" s="13" t="str">
        <f aca="false">IF($AI9="","",IF($U9=0,0,$AD9/$U9))</f>
        <v/>
      </c>
      <c r="AF9" s="52" t="str">
        <f aca="false">IF($AI9="","",IF($V9=0,0,$AD9/$V9))</f>
        <v/>
      </c>
      <c r="AG9" s="52" t="str">
        <f aca="false">IF($AI9="","",IF(($W9+$X9)=0,0,$AD9/($W9+$X9)))</f>
        <v/>
      </c>
      <c r="AH9" s="13" t="str">
        <f aca="false">IF($AI9="","",IF($N9=0,0,($AD9+$W9)/$N9/IF($M9="USD",INDEX('COD Network Fees'!$B$27:$B$29,MATCH($Q9,'COD Network Fees'!$A$27:$A$29,0)),1)))</f>
        <v/>
      </c>
      <c r="AI9" s="53" t="str">
        <f aca="false">IF($B9="","",MATCH($B9,'COD Network Fees'!$A$5:$A$23,0))</f>
        <v/>
      </c>
    </row>
    <row r="10" customFormat="false" ht="15" hidden="false" customHeight="false" outlineLevel="0" collapsed="false">
      <c r="A10" s="8"/>
      <c r="B10" s="8"/>
      <c r="C10" s="8"/>
      <c r="D10" s="8"/>
      <c r="E10" s="11"/>
      <c r="F10" s="11"/>
      <c r="G10" s="11"/>
      <c r="H10" s="12"/>
      <c r="I10" s="12"/>
      <c r="J10" s="12"/>
      <c r="K10" s="11"/>
      <c r="L10" s="11"/>
      <c r="M10" s="8"/>
      <c r="N10" s="48"/>
      <c r="O10" s="12"/>
      <c r="P10" s="12"/>
      <c r="Q10" s="49" t="str">
        <f aca="false">IF($AI10="","",INDEX('COD Network Fees'!$C$5:$C$23,$AI10))</f>
        <v/>
      </c>
      <c r="R10" s="13" t="str">
        <f aca="false">IF($AI10="","",IF(($H10+$I10+$J10)=0,0,($E10*$H10+$F10*$I10+$G10*$J10)/($H10+$I10+$J10)))</f>
        <v/>
      </c>
      <c r="S10" s="50" t="str">
        <f aca="false">IF($AI10="","",IF(($H10+$I10+$J10)=0,0,(Calculator!$H$7*$H10+Calculator!$H$8*$I10+Calculator!$H$9*$J10)/($H10+$I10+$J10)))</f>
        <v/>
      </c>
      <c r="T10" s="15" t="str">
        <f aca="false">IF($AI10="","",$N10*$O10)</f>
        <v/>
      </c>
      <c r="U10" s="15" t="str">
        <f aca="false">IF($AI10="","",$T10*(1-$P10))</f>
        <v/>
      </c>
      <c r="V10" s="15" t="str">
        <f aca="false">IF($AI10="","",$U10*$R10)</f>
        <v/>
      </c>
      <c r="W10" s="15" t="str">
        <f aca="false">IF($AI10="","",$N10*$L10*IF($M10="USD",INDEX('COD Network Fees'!$B$27:$B$29,MATCH($Q10,'COD Network Fees'!$A$27:$A$29,0)),1))</f>
        <v/>
      </c>
      <c r="X10" s="15" t="str">
        <f aca="false">IF($AI10="","",$U10*$S10*$K10)</f>
        <v/>
      </c>
      <c r="Y10" s="15" t="str">
        <f aca="false">IF($AI10="","",IF($D10="Yes",1,0)*($N10*IF($C10="Cosmetic",INDEX('COD Network Fees'!$G$5:$G$23,$AI10),INDEX('COD Network Fees'!$D$5:$D$23,$AI10))+$T10*IF($C10="Cosmetic",INDEX('COD Network Fees'!$H$5:$H$23,$AI10),INDEX('COD Network Fees'!$E$5:$E$23,$AI10))+$U10*IF($C10="Cosmetic",INDEX('COD Network Fees'!$I$5:$I$23,$AI10),INDEX('COD Network Fees'!$F$5:$F$23,$AI10))))</f>
        <v/>
      </c>
      <c r="Z10" s="15" t="str">
        <f aca="false">IF($AI10="","",$U10*IF(AND($D10="No",INDEX('COD Network Fees'!$M$5:$M$23,$AI10)&lt;&gt;""),INDEX('COD Network Fees'!$M$5:$M$23,$AI10),INDEX('COD Network Fees'!$K$5:$K$23,$AI10))+($T10-$U10)*IF(AND($D10="No",INDEX('COD Network Fees'!$M$5:$M$23,$AI10)&lt;&gt;""),INDEX('COD Network Fees'!$M$5:$M$23,$AI10),INDEX('COD Network Fees'!$L$5:$L$23,$AI10)))</f>
        <v/>
      </c>
      <c r="AA10" s="15" t="str">
        <f aca="false">IF($AI10="","",$T10*INDEX('COD Network Fees'!$N$5:$N$23,$AI10))</f>
        <v/>
      </c>
      <c r="AB10" s="15" t="str">
        <f aca="false">IF($AI10="","",$V10*INDEX('COD Network Fees'!$P$5:$P$23,$AI10))</f>
        <v/>
      </c>
      <c r="AC10" s="15" t="str">
        <f aca="false">IF($AI10="","",($V10-$Y10-$Z10-$AA10-$AB10)*Calculator!$B$19)</f>
        <v/>
      </c>
      <c r="AD10" s="51" t="str">
        <f aca="false">IF($AI10="","",$V10-$W10-$X10-$Y10-$Z10-$AA10-$AB10-$AC10)</f>
        <v/>
      </c>
      <c r="AE10" s="13" t="str">
        <f aca="false">IF($AI10="","",IF($U10=0,0,$AD10/$U10))</f>
        <v/>
      </c>
      <c r="AF10" s="52" t="str">
        <f aca="false">IF($AI10="","",IF($V10=0,0,$AD10/$V10))</f>
        <v/>
      </c>
      <c r="AG10" s="52" t="str">
        <f aca="false">IF($AI10="","",IF(($W10+$X10)=0,0,$AD10/($W10+$X10)))</f>
        <v/>
      </c>
      <c r="AH10" s="13" t="str">
        <f aca="false">IF($AI10="","",IF($N10=0,0,($AD10+$W10)/$N10/IF($M10="USD",INDEX('COD Network Fees'!$B$27:$B$29,MATCH($Q10,'COD Network Fees'!$A$27:$A$29,0)),1)))</f>
        <v/>
      </c>
      <c r="AI10" s="53" t="str">
        <f aca="false">IF($B10="","",MATCH($B10,'COD Network Fees'!$A$5:$A$23,0))</f>
        <v/>
      </c>
    </row>
    <row r="11" customFormat="false" ht="15" hidden="false" customHeight="false" outlineLevel="0" collapsed="false">
      <c r="A11" s="8"/>
      <c r="B11" s="8"/>
      <c r="C11" s="8"/>
      <c r="D11" s="8"/>
      <c r="E11" s="11"/>
      <c r="F11" s="11"/>
      <c r="G11" s="11"/>
      <c r="H11" s="12"/>
      <c r="I11" s="12"/>
      <c r="J11" s="12"/>
      <c r="K11" s="11"/>
      <c r="L11" s="11"/>
      <c r="M11" s="8"/>
      <c r="N11" s="48"/>
      <c r="O11" s="12"/>
      <c r="P11" s="12"/>
      <c r="Q11" s="49" t="str">
        <f aca="false">IF($AI11="","",INDEX('COD Network Fees'!$C$5:$C$23,$AI11))</f>
        <v/>
      </c>
      <c r="R11" s="13" t="str">
        <f aca="false">IF($AI11="","",IF(($H11+$I11+$J11)=0,0,($E11*$H11+$F11*$I11+$G11*$J11)/($H11+$I11+$J11)))</f>
        <v/>
      </c>
      <c r="S11" s="50" t="str">
        <f aca="false">IF($AI11="","",IF(($H11+$I11+$J11)=0,0,(Calculator!$H$7*$H11+Calculator!$H$8*$I11+Calculator!$H$9*$J11)/($H11+$I11+$J11)))</f>
        <v/>
      </c>
      <c r="T11" s="15" t="str">
        <f aca="false">IF($AI11="","",$N11*$O11)</f>
        <v/>
      </c>
      <c r="U11" s="15" t="str">
        <f aca="false">IF($AI11="","",$T11*(1-$P11))</f>
        <v/>
      </c>
      <c r="V11" s="15" t="str">
        <f aca="false">IF($AI11="","",$U11*$R11)</f>
        <v/>
      </c>
      <c r="W11" s="15" t="str">
        <f aca="false">IF($AI11="","",$N11*$L11*IF($M11="USD",INDEX('COD Network Fees'!$B$27:$B$29,MATCH($Q11,'COD Network Fees'!$A$27:$A$29,0)),1))</f>
        <v/>
      </c>
      <c r="X11" s="15" t="str">
        <f aca="false">IF($AI11="","",$U11*$S11*$K11)</f>
        <v/>
      </c>
      <c r="Y11" s="15" t="str">
        <f aca="false">IF($AI11="","",IF($D11="Yes",1,0)*($N11*IF($C11="Cosmetic",INDEX('COD Network Fees'!$G$5:$G$23,$AI11),INDEX('COD Network Fees'!$D$5:$D$23,$AI11))+$T11*IF($C11="Cosmetic",INDEX('COD Network Fees'!$H$5:$H$23,$AI11),INDEX('COD Network Fees'!$E$5:$E$23,$AI11))+$U11*IF($C11="Cosmetic",INDEX('COD Network Fees'!$I$5:$I$23,$AI11),INDEX('COD Network Fees'!$F$5:$F$23,$AI11))))</f>
        <v/>
      </c>
      <c r="Z11" s="15" t="str">
        <f aca="false">IF($AI11="","",$U11*IF(AND($D11="No",INDEX('COD Network Fees'!$M$5:$M$23,$AI11)&lt;&gt;""),INDEX('COD Network Fees'!$M$5:$M$23,$AI11),INDEX('COD Network Fees'!$K$5:$K$23,$AI11))+($T11-$U11)*IF(AND($D11="No",INDEX('COD Network Fees'!$M$5:$M$23,$AI11)&lt;&gt;""),INDEX('COD Network Fees'!$M$5:$M$23,$AI11),INDEX('COD Network Fees'!$L$5:$L$23,$AI11)))</f>
        <v/>
      </c>
      <c r="AA11" s="15" t="str">
        <f aca="false">IF($AI11="","",$T11*INDEX('COD Network Fees'!$N$5:$N$23,$AI11))</f>
        <v/>
      </c>
      <c r="AB11" s="15" t="str">
        <f aca="false">IF($AI11="","",$V11*INDEX('COD Network Fees'!$P$5:$P$23,$AI11))</f>
        <v/>
      </c>
      <c r="AC11" s="15" t="str">
        <f aca="false">IF($AI11="","",($V11-$Y11-$Z11-$AA11-$AB11)*Calculator!$B$19)</f>
        <v/>
      </c>
      <c r="AD11" s="51" t="str">
        <f aca="false">IF($AI11="","",$V11-$W11-$X11-$Y11-$Z11-$AA11-$AB11-$AC11)</f>
        <v/>
      </c>
      <c r="AE11" s="13" t="str">
        <f aca="false">IF($AI11="","",IF($U11=0,0,$AD11/$U11))</f>
        <v/>
      </c>
      <c r="AF11" s="52" t="str">
        <f aca="false">IF($AI11="","",IF($V11=0,0,$AD11/$V11))</f>
        <v/>
      </c>
      <c r="AG11" s="52" t="str">
        <f aca="false">IF($AI11="","",IF(($W11+$X11)=0,0,$AD11/($W11+$X11)))</f>
        <v/>
      </c>
      <c r="AH11" s="13" t="str">
        <f aca="false">IF($AI11="","",IF($N11=0,0,($AD11+$W11)/$N11/IF($M11="USD",INDEX('COD Network Fees'!$B$27:$B$29,MATCH($Q11,'COD Network Fees'!$A$27:$A$29,0)),1)))</f>
        <v/>
      </c>
      <c r="AI11" s="53" t="str">
        <f aca="false">IF($B11="","",MATCH($B11,'COD Network Fees'!$A$5:$A$23,0))</f>
        <v/>
      </c>
    </row>
    <row r="12" customFormat="false" ht="15" hidden="false" customHeight="false" outlineLevel="0" collapsed="false">
      <c r="A12" s="8"/>
      <c r="B12" s="8"/>
      <c r="C12" s="8"/>
      <c r="D12" s="8"/>
      <c r="E12" s="11"/>
      <c r="F12" s="11"/>
      <c r="G12" s="11"/>
      <c r="H12" s="12"/>
      <c r="I12" s="12"/>
      <c r="J12" s="12"/>
      <c r="K12" s="11"/>
      <c r="L12" s="11"/>
      <c r="M12" s="8"/>
      <c r="N12" s="48"/>
      <c r="O12" s="12"/>
      <c r="P12" s="12"/>
      <c r="Q12" s="49" t="str">
        <f aca="false">IF($AI12="","",INDEX('COD Network Fees'!$C$5:$C$23,$AI12))</f>
        <v/>
      </c>
      <c r="R12" s="13" t="str">
        <f aca="false">IF($AI12="","",IF(($H12+$I12+$J12)=0,0,($E12*$H12+$F12*$I12+$G12*$J12)/($H12+$I12+$J12)))</f>
        <v/>
      </c>
      <c r="S12" s="50" t="str">
        <f aca="false">IF($AI12="","",IF(($H12+$I12+$J12)=0,0,(Calculator!$H$7*$H12+Calculator!$H$8*$I12+Calculator!$H$9*$J12)/($H12+$I12+$J12)))</f>
        <v/>
      </c>
      <c r="T12" s="15" t="str">
        <f aca="false">IF($AI12="","",$N12*$O12)</f>
        <v/>
      </c>
      <c r="U12" s="15" t="str">
        <f aca="false">IF($AI12="","",$T12*(1-$P12))</f>
        <v/>
      </c>
      <c r="V12" s="15" t="str">
        <f aca="false">IF($AI12="","",$U12*$R12)</f>
        <v/>
      </c>
      <c r="W12" s="15" t="str">
        <f aca="false">IF($AI12="","",$N12*$L12*IF($M12="USD",INDEX('COD Network Fees'!$B$27:$B$29,MATCH($Q12,'COD Network Fees'!$A$27:$A$29,0)),1))</f>
        <v/>
      </c>
      <c r="X12" s="15" t="str">
        <f aca="false">IF($AI12="","",$U12*$S12*$K12)</f>
        <v/>
      </c>
      <c r="Y12" s="15" t="str">
        <f aca="false">IF($AI12="","",IF($D12="Yes",1,0)*($N12*IF($C12="Cosmetic",INDEX('COD Network Fees'!$G$5:$G$23,$AI12),INDEX('COD Network Fees'!$D$5:$D$23,$AI12))+$T12*IF($C12="Cosmetic",INDEX('COD Network Fees'!$H$5:$H$23,$AI12),INDEX('COD Network Fees'!$E$5:$E$23,$AI12))+$U12*IF($C12="Cosmetic",INDEX('COD Network Fees'!$I$5:$I$23,$AI12),INDEX('COD Network Fees'!$F$5:$F$23,$AI12))))</f>
        <v/>
      </c>
      <c r="Z12" s="15" t="str">
        <f aca="false">IF($AI12="","",$U12*IF(AND($D12="No",INDEX('COD Network Fees'!$M$5:$M$23,$AI12)&lt;&gt;""),INDEX('COD Network Fees'!$M$5:$M$23,$AI12),INDEX('COD Network Fees'!$K$5:$K$23,$AI12))+($T12-$U12)*IF(AND($D12="No",INDEX('COD Network Fees'!$M$5:$M$23,$AI12)&lt;&gt;""),INDEX('COD Network Fees'!$M$5:$M$23,$AI12),INDEX('COD Network Fees'!$L$5:$L$23,$AI12)))</f>
        <v/>
      </c>
      <c r="AA12" s="15" t="str">
        <f aca="false">IF($AI12="","",$T12*INDEX('COD Network Fees'!$N$5:$N$23,$AI12))</f>
        <v/>
      </c>
      <c r="AB12" s="15" t="str">
        <f aca="false">IF($AI12="","",$V12*INDEX('COD Network Fees'!$P$5:$P$23,$AI12))</f>
        <v/>
      </c>
      <c r="AC12" s="15" t="str">
        <f aca="false">IF($AI12="","",($V12-$Y12-$Z12-$AA12-$AB12)*Calculator!$B$19)</f>
        <v/>
      </c>
      <c r="AD12" s="51" t="str">
        <f aca="false">IF($AI12="","",$V12-$W12-$X12-$Y12-$Z12-$AA12-$AB12-$AC12)</f>
        <v/>
      </c>
      <c r="AE12" s="13" t="str">
        <f aca="false">IF($AI12="","",IF($U12=0,0,$AD12/$U12))</f>
        <v/>
      </c>
      <c r="AF12" s="52" t="str">
        <f aca="false">IF($AI12="","",IF($V12=0,0,$AD12/$V12))</f>
        <v/>
      </c>
      <c r="AG12" s="52" t="str">
        <f aca="false">IF($AI12="","",IF(($W12+$X12)=0,0,$AD12/($W12+$X12)))</f>
        <v/>
      </c>
      <c r="AH12" s="13" t="str">
        <f aca="false">IF($AI12="","",IF($N12=0,0,($AD12+$W12)/$N12/IF($M12="USD",INDEX('COD Network Fees'!$B$27:$B$29,MATCH($Q12,'COD Network Fees'!$A$27:$A$29,0)),1)))</f>
        <v/>
      </c>
      <c r="AI12" s="53" t="str">
        <f aca="false">IF($B12="","",MATCH($B12,'COD Network Fees'!$A$5:$A$23,0))</f>
        <v/>
      </c>
    </row>
    <row r="13" customFormat="false" ht="15" hidden="false" customHeight="false" outlineLevel="0" collapsed="false">
      <c r="A13" s="8"/>
      <c r="B13" s="8"/>
      <c r="C13" s="8"/>
      <c r="D13" s="8"/>
      <c r="E13" s="11"/>
      <c r="F13" s="11"/>
      <c r="G13" s="11"/>
      <c r="H13" s="12"/>
      <c r="I13" s="12"/>
      <c r="J13" s="12"/>
      <c r="K13" s="11"/>
      <c r="L13" s="11"/>
      <c r="M13" s="8"/>
      <c r="N13" s="48"/>
      <c r="O13" s="12"/>
      <c r="P13" s="12"/>
      <c r="Q13" s="49" t="str">
        <f aca="false">IF($AI13="","",INDEX('COD Network Fees'!$C$5:$C$23,$AI13))</f>
        <v/>
      </c>
      <c r="R13" s="13" t="str">
        <f aca="false">IF($AI13="","",IF(($H13+$I13+$J13)=0,0,($E13*$H13+$F13*$I13+$G13*$J13)/($H13+$I13+$J13)))</f>
        <v/>
      </c>
      <c r="S13" s="50" t="str">
        <f aca="false">IF($AI13="","",IF(($H13+$I13+$J13)=0,0,(Calculator!$H$7*$H13+Calculator!$H$8*$I13+Calculator!$H$9*$J13)/($H13+$I13+$J13)))</f>
        <v/>
      </c>
      <c r="T13" s="15" t="str">
        <f aca="false">IF($AI13="","",$N13*$O13)</f>
        <v/>
      </c>
      <c r="U13" s="15" t="str">
        <f aca="false">IF($AI13="","",$T13*(1-$P13))</f>
        <v/>
      </c>
      <c r="V13" s="15" t="str">
        <f aca="false">IF($AI13="","",$U13*$R13)</f>
        <v/>
      </c>
      <c r="W13" s="15" t="str">
        <f aca="false">IF($AI13="","",$N13*$L13*IF($M13="USD",INDEX('COD Network Fees'!$B$27:$B$29,MATCH($Q13,'COD Network Fees'!$A$27:$A$29,0)),1))</f>
        <v/>
      </c>
      <c r="X13" s="15" t="str">
        <f aca="false">IF($AI13="","",$U13*$S13*$K13)</f>
        <v/>
      </c>
      <c r="Y13" s="15" t="str">
        <f aca="false">IF($AI13="","",IF($D13="Yes",1,0)*($N13*IF($C13="Cosmetic",INDEX('COD Network Fees'!$G$5:$G$23,$AI13),INDEX('COD Network Fees'!$D$5:$D$23,$AI13))+$T13*IF($C13="Cosmetic",INDEX('COD Network Fees'!$H$5:$H$23,$AI13),INDEX('COD Network Fees'!$E$5:$E$23,$AI13))+$U13*IF($C13="Cosmetic",INDEX('COD Network Fees'!$I$5:$I$23,$AI13),INDEX('COD Network Fees'!$F$5:$F$23,$AI13))))</f>
        <v/>
      </c>
      <c r="Z13" s="15" t="str">
        <f aca="false">IF($AI13="","",$U13*IF(AND($D13="No",INDEX('COD Network Fees'!$M$5:$M$23,$AI13)&lt;&gt;""),INDEX('COD Network Fees'!$M$5:$M$23,$AI13),INDEX('COD Network Fees'!$K$5:$K$23,$AI13))+($T13-$U13)*IF(AND($D13="No",INDEX('COD Network Fees'!$M$5:$M$23,$AI13)&lt;&gt;""),INDEX('COD Network Fees'!$M$5:$M$23,$AI13),INDEX('COD Network Fees'!$L$5:$L$23,$AI13)))</f>
        <v/>
      </c>
      <c r="AA13" s="15" t="str">
        <f aca="false">IF($AI13="","",$T13*INDEX('COD Network Fees'!$N$5:$N$23,$AI13))</f>
        <v/>
      </c>
      <c r="AB13" s="15" t="str">
        <f aca="false">IF($AI13="","",$V13*INDEX('COD Network Fees'!$P$5:$P$23,$AI13))</f>
        <v/>
      </c>
      <c r="AC13" s="15" t="str">
        <f aca="false">IF($AI13="","",($V13-$Y13-$Z13-$AA13-$AB13)*Calculator!$B$19)</f>
        <v/>
      </c>
      <c r="AD13" s="51" t="str">
        <f aca="false">IF($AI13="","",$V13-$W13-$X13-$Y13-$Z13-$AA13-$AB13-$AC13)</f>
        <v/>
      </c>
      <c r="AE13" s="13" t="str">
        <f aca="false">IF($AI13="","",IF($U13=0,0,$AD13/$U13))</f>
        <v/>
      </c>
      <c r="AF13" s="52" t="str">
        <f aca="false">IF($AI13="","",IF($V13=0,0,$AD13/$V13))</f>
        <v/>
      </c>
      <c r="AG13" s="52" t="str">
        <f aca="false">IF($AI13="","",IF(($W13+$X13)=0,0,$AD13/($W13+$X13)))</f>
        <v/>
      </c>
      <c r="AH13" s="13" t="str">
        <f aca="false">IF($AI13="","",IF($N13=0,0,($AD13+$W13)/$N13/IF($M13="USD",INDEX('COD Network Fees'!$B$27:$B$29,MATCH($Q13,'COD Network Fees'!$A$27:$A$29,0)),1)))</f>
        <v/>
      </c>
      <c r="AI13" s="53" t="str">
        <f aca="false">IF($B13="","",MATCH($B13,'COD Network Fees'!$A$5:$A$23,0))</f>
        <v/>
      </c>
    </row>
    <row r="14" customFormat="false" ht="15" hidden="false" customHeight="false" outlineLevel="0" collapsed="false">
      <c r="A14" s="8"/>
      <c r="B14" s="8"/>
      <c r="C14" s="8"/>
      <c r="D14" s="8"/>
      <c r="E14" s="11"/>
      <c r="F14" s="11"/>
      <c r="G14" s="11"/>
      <c r="H14" s="12"/>
      <c r="I14" s="12"/>
      <c r="J14" s="12"/>
      <c r="K14" s="11"/>
      <c r="L14" s="11"/>
      <c r="M14" s="8"/>
      <c r="N14" s="48"/>
      <c r="O14" s="12"/>
      <c r="P14" s="12"/>
      <c r="Q14" s="49" t="str">
        <f aca="false">IF($AI14="","",INDEX('COD Network Fees'!$C$5:$C$23,$AI14))</f>
        <v/>
      </c>
      <c r="R14" s="13" t="str">
        <f aca="false">IF($AI14="","",IF(($H14+$I14+$J14)=0,0,($E14*$H14+$F14*$I14+$G14*$J14)/($H14+$I14+$J14)))</f>
        <v/>
      </c>
      <c r="S14" s="50" t="str">
        <f aca="false">IF($AI14="","",IF(($H14+$I14+$J14)=0,0,(Calculator!$H$7*$H14+Calculator!$H$8*$I14+Calculator!$H$9*$J14)/($H14+$I14+$J14)))</f>
        <v/>
      </c>
      <c r="T14" s="15" t="str">
        <f aca="false">IF($AI14="","",$N14*$O14)</f>
        <v/>
      </c>
      <c r="U14" s="15" t="str">
        <f aca="false">IF($AI14="","",$T14*(1-$P14))</f>
        <v/>
      </c>
      <c r="V14" s="15" t="str">
        <f aca="false">IF($AI14="","",$U14*$R14)</f>
        <v/>
      </c>
      <c r="W14" s="15" t="str">
        <f aca="false">IF($AI14="","",$N14*$L14*IF($M14="USD",INDEX('COD Network Fees'!$B$27:$B$29,MATCH($Q14,'COD Network Fees'!$A$27:$A$29,0)),1))</f>
        <v/>
      </c>
      <c r="X14" s="15" t="str">
        <f aca="false">IF($AI14="","",$U14*$S14*$K14)</f>
        <v/>
      </c>
      <c r="Y14" s="15" t="str">
        <f aca="false">IF($AI14="","",IF($D14="Yes",1,0)*($N14*IF($C14="Cosmetic",INDEX('COD Network Fees'!$G$5:$G$23,$AI14),INDEX('COD Network Fees'!$D$5:$D$23,$AI14))+$T14*IF($C14="Cosmetic",INDEX('COD Network Fees'!$H$5:$H$23,$AI14),INDEX('COD Network Fees'!$E$5:$E$23,$AI14))+$U14*IF($C14="Cosmetic",INDEX('COD Network Fees'!$I$5:$I$23,$AI14),INDEX('COD Network Fees'!$F$5:$F$23,$AI14))))</f>
        <v/>
      </c>
      <c r="Z14" s="15" t="str">
        <f aca="false">IF($AI14="","",$U14*IF(AND($D14="No",INDEX('COD Network Fees'!$M$5:$M$23,$AI14)&lt;&gt;""),INDEX('COD Network Fees'!$M$5:$M$23,$AI14),INDEX('COD Network Fees'!$K$5:$K$23,$AI14))+($T14-$U14)*IF(AND($D14="No",INDEX('COD Network Fees'!$M$5:$M$23,$AI14)&lt;&gt;""),INDEX('COD Network Fees'!$M$5:$M$23,$AI14),INDEX('COD Network Fees'!$L$5:$L$23,$AI14)))</f>
        <v/>
      </c>
      <c r="AA14" s="15" t="str">
        <f aca="false">IF($AI14="","",$T14*INDEX('COD Network Fees'!$N$5:$N$23,$AI14))</f>
        <v/>
      </c>
      <c r="AB14" s="15" t="str">
        <f aca="false">IF($AI14="","",$V14*INDEX('COD Network Fees'!$P$5:$P$23,$AI14))</f>
        <v/>
      </c>
      <c r="AC14" s="15" t="str">
        <f aca="false">IF($AI14="","",($V14-$Y14-$Z14-$AA14-$AB14)*Calculator!$B$19)</f>
        <v/>
      </c>
      <c r="AD14" s="51" t="str">
        <f aca="false">IF($AI14="","",$V14-$W14-$X14-$Y14-$Z14-$AA14-$AB14-$AC14)</f>
        <v/>
      </c>
      <c r="AE14" s="13" t="str">
        <f aca="false">IF($AI14="","",IF($U14=0,0,$AD14/$U14))</f>
        <v/>
      </c>
      <c r="AF14" s="52" t="str">
        <f aca="false">IF($AI14="","",IF($V14=0,0,$AD14/$V14))</f>
        <v/>
      </c>
      <c r="AG14" s="52" t="str">
        <f aca="false">IF($AI14="","",IF(($W14+$X14)=0,0,$AD14/($W14+$X14)))</f>
        <v/>
      </c>
      <c r="AH14" s="13" t="str">
        <f aca="false">IF($AI14="","",IF($N14=0,0,($AD14+$W14)/$N14/IF($M14="USD",INDEX('COD Network Fees'!$B$27:$B$29,MATCH($Q14,'COD Network Fees'!$A$27:$A$29,0)),1)))</f>
        <v/>
      </c>
      <c r="AI14" s="53" t="str">
        <f aca="false">IF($B14="","",MATCH($B14,'COD Network Fees'!$A$5:$A$23,0))</f>
        <v/>
      </c>
    </row>
    <row r="15" customFormat="false" ht="15" hidden="false" customHeight="false" outlineLevel="0" collapsed="false">
      <c r="A15" s="8"/>
      <c r="B15" s="8"/>
      <c r="C15" s="8"/>
      <c r="D15" s="8"/>
      <c r="E15" s="11"/>
      <c r="F15" s="11"/>
      <c r="G15" s="11"/>
      <c r="H15" s="12"/>
      <c r="I15" s="12"/>
      <c r="J15" s="12"/>
      <c r="K15" s="11"/>
      <c r="L15" s="11"/>
      <c r="M15" s="8"/>
      <c r="N15" s="48"/>
      <c r="O15" s="12"/>
      <c r="P15" s="12"/>
      <c r="Q15" s="49" t="str">
        <f aca="false">IF($AI15="","",INDEX('COD Network Fees'!$C$5:$C$23,$AI15))</f>
        <v/>
      </c>
      <c r="R15" s="13" t="str">
        <f aca="false">IF($AI15="","",IF(($H15+$I15+$J15)=0,0,($E15*$H15+$F15*$I15+$G15*$J15)/($H15+$I15+$J15)))</f>
        <v/>
      </c>
      <c r="S15" s="50" t="str">
        <f aca="false">IF($AI15="","",IF(($H15+$I15+$J15)=0,0,(Calculator!$H$7*$H15+Calculator!$H$8*$I15+Calculator!$H$9*$J15)/($H15+$I15+$J15)))</f>
        <v/>
      </c>
      <c r="T15" s="15" t="str">
        <f aca="false">IF($AI15="","",$N15*$O15)</f>
        <v/>
      </c>
      <c r="U15" s="15" t="str">
        <f aca="false">IF($AI15="","",$T15*(1-$P15))</f>
        <v/>
      </c>
      <c r="V15" s="15" t="str">
        <f aca="false">IF($AI15="","",$U15*$R15)</f>
        <v/>
      </c>
      <c r="W15" s="15" t="str">
        <f aca="false">IF($AI15="","",$N15*$L15*IF($M15="USD",INDEX('COD Network Fees'!$B$27:$B$29,MATCH($Q15,'COD Network Fees'!$A$27:$A$29,0)),1))</f>
        <v/>
      </c>
      <c r="X15" s="15" t="str">
        <f aca="false">IF($AI15="","",$U15*$S15*$K15)</f>
        <v/>
      </c>
      <c r="Y15" s="15" t="str">
        <f aca="false">IF($AI15="","",IF($D15="Yes",1,0)*($N15*IF($C15="Cosmetic",INDEX('COD Network Fees'!$G$5:$G$23,$AI15),INDEX('COD Network Fees'!$D$5:$D$23,$AI15))+$T15*IF($C15="Cosmetic",INDEX('COD Network Fees'!$H$5:$H$23,$AI15),INDEX('COD Network Fees'!$E$5:$E$23,$AI15))+$U15*IF($C15="Cosmetic",INDEX('COD Network Fees'!$I$5:$I$23,$AI15),INDEX('COD Network Fees'!$F$5:$F$23,$AI15))))</f>
        <v/>
      </c>
      <c r="Z15" s="15" t="str">
        <f aca="false">IF($AI15="","",$U15*IF(AND($D15="No",INDEX('COD Network Fees'!$M$5:$M$23,$AI15)&lt;&gt;""),INDEX('COD Network Fees'!$M$5:$M$23,$AI15),INDEX('COD Network Fees'!$K$5:$K$23,$AI15))+($T15-$U15)*IF(AND($D15="No",INDEX('COD Network Fees'!$M$5:$M$23,$AI15)&lt;&gt;""),INDEX('COD Network Fees'!$M$5:$M$23,$AI15),INDEX('COD Network Fees'!$L$5:$L$23,$AI15)))</f>
        <v/>
      </c>
      <c r="AA15" s="15" t="str">
        <f aca="false">IF($AI15="","",$T15*INDEX('COD Network Fees'!$N$5:$N$23,$AI15))</f>
        <v/>
      </c>
      <c r="AB15" s="15" t="str">
        <f aca="false">IF($AI15="","",$V15*INDEX('COD Network Fees'!$P$5:$P$23,$AI15))</f>
        <v/>
      </c>
      <c r="AC15" s="15" t="str">
        <f aca="false">IF($AI15="","",($V15-$Y15-$Z15-$AA15-$AB15)*Calculator!$B$19)</f>
        <v/>
      </c>
      <c r="AD15" s="51" t="str">
        <f aca="false">IF($AI15="","",$V15-$W15-$X15-$Y15-$Z15-$AA15-$AB15-$AC15)</f>
        <v/>
      </c>
      <c r="AE15" s="13" t="str">
        <f aca="false">IF($AI15="","",IF($U15=0,0,$AD15/$U15))</f>
        <v/>
      </c>
      <c r="AF15" s="52" t="str">
        <f aca="false">IF($AI15="","",IF($V15=0,0,$AD15/$V15))</f>
        <v/>
      </c>
      <c r="AG15" s="52" t="str">
        <f aca="false">IF($AI15="","",IF(($W15+$X15)=0,0,$AD15/($W15+$X15)))</f>
        <v/>
      </c>
      <c r="AH15" s="13" t="str">
        <f aca="false">IF($AI15="","",IF($N15=0,0,($AD15+$W15)/$N15/IF($M15="USD",INDEX('COD Network Fees'!$B$27:$B$29,MATCH($Q15,'COD Network Fees'!$A$27:$A$29,0)),1)))</f>
        <v/>
      </c>
      <c r="AI15" s="53" t="str">
        <f aca="false">IF($B15="","",MATCH($B15,'COD Network Fees'!$A$5:$A$23,0))</f>
        <v/>
      </c>
    </row>
    <row r="16" customFormat="false" ht="15" hidden="false" customHeight="false" outlineLevel="0" collapsed="false">
      <c r="A16" s="8"/>
      <c r="B16" s="8"/>
      <c r="C16" s="8"/>
      <c r="D16" s="8"/>
      <c r="E16" s="11"/>
      <c r="F16" s="11"/>
      <c r="G16" s="11"/>
      <c r="H16" s="12"/>
      <c r="I16" s="12"/>
      <c r="J16" s="12"/>
      <c r="K16" s="11"/>
      <c r="L16" s="11"/>
      <c r="M16" s="8"/>
      <c r="N16" s="48"/>
      <c r="O16" s="12"/>
      <c r="P16" s="12"/>
      <c r="Q16" s="49" t="str">
        <f aca="false">IF($AI16="","",INDEX('COD Network Fees'!$C$5:$C$23,$AI16))</f>
        <v/>
      </c>
      <c r="R16" s="13" t="str">
        <f aca="false">IF($AI16="","",IF(($H16+$I16+$J16)=0,0,($E16*$H16+$F16*$I16+$G16*$J16)/($H16+$I16+$J16)))</f>
        <v/>
      </c>
      <c r="S16" s="50" t="str">
        <f aca="false">IF($AI16="","",IF(($H16+$I16+$J16)=0,0,(Calculator!$H$7*$H16+Calculator!$H$8*$I16+Calculator!$H$9*$J16)/($H16+$I16+$J16)))</f>
        <v/>
      </c>
      <c r="T16" s="15" t="str">
        <f aca="false">IF($AI16="","",$N16*$O16)</f>
        <v/>
      </c>
      <c r="U16" s="15" t="str">
        <f aca="false">IF($AI16="","",$T16*(1-$P16))</f>
        <v/>
      </c>
      <c r="V16" s="15" t="str">
        <f aca="false">IF($AI16="","",$U16*$R16)</f>
        <v/>
      </c>
      <c r="W16" s="15" t="str">
        <f aca="false">IF($AI16="","",$N16*$L16*IF($M16="USD",INDEX('COD Network Fees'!$B$27:$B$29,MATCH($Q16,'COD Network Fees'!$A$27:$A$29,0)),1))</f>
        <v/>
      </c>
      <c r="X16" s="15" t="str">
        <f aca="false">IF($AI16="","",$U16*$S16*$K16)</f>
        <v/>
      </c>
      <c r="Y16" s="15" t="str">
        <f aca="false">IF($AI16="","",IF($D16="Yes",1,0)*($N16*IF($C16="Cosmetic",INDEX('COD Network Fees'!$G$5:$G$23,$AI16),INDEX('COD Network Fees'!$D$5:$D$23,$AI16))+$T16*IF($C16="Cosmetic",INDEX('COD Network Fees'!$H$5:$H$23,$AI16),INDEX('COD Network Fees'!$E$5:$E$23,$AI16))+$U16*IF($C16="Cosmetic",INDEX('COD Network Fees'!$I$5:$I$23,$AI16),INDEX('COD Network Fees'!$F$5:$F$23,$AI16))))</f>
        <v/>
      </c>
      <c r="Z16" s="15" t="str">
        <f aca="false">IF($AI16="","",$U16*IF(AND($D16="No",INDEX('COD Network Fees'!$M$5:$M$23,$AI16)&lt;&gt;""),INDEX('COD Network Fees'!$M$5:$M$23,$AI16),INDEX('COD Network Fees'!$K$5:$K$23,$AI16))+($T16-$U16)*IF(AND($D16="No",INDEX('COD Network Fees'!$M$5:$M$23,$AI16)&lt;&gt;""),INDEX('COD Network Fees'!$M$5:$M$23,$AI16),INDEX('COD Network Fees'!$L$5:$L$23,$AI16)))</f>
        <v/>
      </c>
      <c r="AA16" s="15" t="str">
        <f aca="false">IF($AI16="","",$T16*INDEX('COD Network Fees'!$N$5:$N$23,$AI16))</f>
        <v/>
      </c>
      <c r="AB16" s="15" t="str">
        <f aca="false">IF($AI16="","",$V16*INDEX('COD Network Fees'!$P$5:$P$23,$AI16))</f>
        <v/>
      </c>
      <c r="AC16" s="15" t="str">
        <f aca="false">IF($AI16="","",($V16-$Y16-$Z16-$AA16-$AB16)*Calculator!$B$19)</f>
        <v/>
      </c>
      <c r="AD16" s="51" t="str">
        <f aca="false">IF($AI16="","",$V16-$W16-$X16-$Y16-$Z16-$AA16-$AB16-$AC16)</f>
        <v/>
      </c>
      <c r="AE16" s="13" t="str">
        <f aca="false">IF($AI16="","",IF($U16=0,0,$AD16/$U16))</f>
        <v/>
      </c>
      <c r="AF16" s="52" t="str">
        <f aca="false">IF($AI16="","",IF($V16=0,0,$AD16/$V16))</f>
        <v/>
      </c>
      <c r="AG16" s="52" t="str">
        <f aca="false">IF($AI16="","",IF(($W16+$X16)=0,0,$AD16/($W16+$X16)))</f>
        <v/>
      </c>
      <c r="AH16" s="13" t="str">
        <f aca="false">IF($AI16="","",IF($N16=0,0,($AD16+$W16)/$N16/IF($M16="USD",INDEX('COD Network Fees'!$B$27:$B$29,MATCH($Q16,'COD Network Fees'!$A$27:$A$29,0)),1)))</f>
        <v/>
      </c>
      <c r="AI16" s="53" t="str">
        <f aca="false">IF($B16="","",MATCH($B16,'COD Network Fees'!$A$5:$A$23,0))</f>
        <v/>
      </c>
    </row>
    <row r="17" customFormat="false" ht="15" hidden="false" customHeight="false" outlineLevel="0" collapsed="false">
      <c r="A17" s="8"/>
      <c r="B17" s="8"/>
      <c r="C17" s="8"/>
      <c r="D17" s="8"/>
      <c r="E17" s="11"/>
      <c r="F17" s="11"/>
      <c r="G17" s="11"/>
      <c r="H17" s="12"/>
      <c r="I17" s="12"/>
      <c r="J17" s="12"/>
      <c r="K17" s="11"/>
      <c r="L17" s="11"/>
      <c r="M17" s="8"/>
      <c r="N17" s="48"/>
      <c r="O17" s="12"/>
      <c r="P17" s="12"/>
      <c r="Q17" s="49" t="str">
        <f aca="false">IF($AI17="","",INDEX('COD Network Fees'!$C$5:$C$23,$AI17))</f>
        <v/>
      </c>
      <c r="R17" s="13" t="str">
        <f aca="false">IF($AI17="","",IF(($H17+$I17+$J17)=0,0,($E17*$H17+$F17*$I17+$G17*$J17)/($H17+$I17+$J17)))</f>
        <v/>
      </c>
      <c r="S17" s="50" t="str">
        <f aca="false">IF($AI17="","",IF(($H17+$I17+$J17)=0,0,(Calculator!$H$7*$H17+Calculator!$H$8*$I17+Calculator!$H$9*$J17)/($H17+$I17+$J17)))</f>
        <v/>
      </c>
      <c r="T17" s="15" t="str">
        <f aca="false">IF($AI17="","",$N17*$O17)</f>
        <v/>
      </c>
      <c r="U17" s="15" t="str">
        <f aca="false">IF($AI17="","",$T17*(1-$P17))</f>
        <v/>
      </c>
      <c r="V17" s="15" t="str">
        <f aca="false">IF($AI17="","",$U17*$R17)</f>
        <v/>
      </c>
      <c r="W17" s="15" t="str">
        <f aca="false">IF($AI17="","",$N17*$L17*IF($M17="USD",INDEX('COD Network Fees'!$B$27:$B$29,MATCH($Q17,'COD Network Fees'!$A$27:$A$29,0)),1))</f>
        <v/>
      </c>
      <c r="X17" s="15" t="str">
        <f aca="false">IF($AI17="","",$U17*$S17*$K17)</f>
        <v/>
      </c>
      <c r="Y17" s="15" t="str">
        <f aca="false">IF($AI17="","",IF($D17="Yes",1,0)*($N17*IF($C17="Cosmetic",INDEX('COD Network Fees'!$G$5:$G$23,$AI17),INDEX('COD Network Fees'!$D$5:$D$23,$AI17))+$T17*IF($C17="Cosmetic",INDEX('COD Network Fees'!$H$5:$H$23,$AI17),INDEX('COD Network Fees'!$E$5:$E$23,$AI17))+$U17*IF($C17="Cosmetic",INDEX('COD Network Fees'!$I$5:$I$23,$AI17),INDEX('COD Network Fees'!$F$5:$F$23,$AI17))))</f>
        <v/>
      </c>
      <c r="Z17" s="15" t="str">
        <f aca="false">IF($AI17="","",$U17*IF(AND($D17="No",INDEX('COD Network Fees'!$M$5:$M$23,$AI17)&lt;&gt;""),INDEX('COD Network Fees'!$M$5:$M$23,$AI17),INDEX('COD Network Fees'!$K$5:$K$23,$AI17))+($T17-$U17)*IF(AND($D17="No",INDEX('COD Network Fees'!$M$5:$M$23,$AI17)&lt;&gt;""),INDEX('COD Network Fees'!$M$5:$M$23,$AI17),INDEX('COD Network Fees'!$L$5:$L$23,$AI17)))</f>
        <v/>
      </c>
      <c r="AA17" s="15" t="str">
        <f aca="false">IF($AI17="","",$T17*INDEX('COD Network Fees'!$N$5:$N$23,$AI17))</f>
        <v/>
      </c>
      <c r="AB17" s="15" t="str">
        <f aca="false">IF($AI17="","",$V17*INDEX('COD Network Fees'!$P$5:$P$23,$AI17))</f>
        <v/>
      </c>
      <c r="AC17" s="15" t="str">
        <f aca="false">IF($AI17="","",($V17-$Y17-$Z17-$AA17-$AB17)*Calculator!$B$19)</f>
        <v/>
      </c>
      <c r="AD17" s="51" t="str">
        <f aca="false">IF($AI17="","",$V17-$W17-$X17-$Y17-$Z17-$AA17-$AB17-$AC17)</f>
        <v/>
      </c>
      <c r="AE17" s="13" t="str">
        <f aca="false">IF($AI17="","",IF($U17=0,0,$AD17/$U17))</f>
        <v/>
      </c>
      <c r="AF17" s="52" t="str">
        <f aca="false">IF($AI17="","",IF($V17=0,0,$AD17/$V17))</f>
        <v/>
      </c>
      <c r="AG17" s="52" t="str">
        <f aca="false">IF($AI17="","",IF(($W17+$X17)=0,0,$AD17/($W17+$X17)))</f>
        <v/>
      </c>
      <c r="AH17" s="13" t="str">
        <f aca="false">IF($AI17="","",IF($N17=0,0,($AD17+$W17)/$N17/IF($M17="USD",INDEX('COD Network Fees'!$B$27:$B$29,MATCH($Q17,'COD Network Fees'!$A$27:$A$29,0)),1)))</f>
        <v/>
      </c>
      <c r="AI17" s="53" t="str">
        <f aca="false">IF($B17="","",MATCH($B17,'COD Network Fees'!$A$5:$A$23,0))</f>
        <v/>
      </c>
    </row>
    <row r="18" customFormat="false" ht="15" hidden="false" customHeight="false" outlineLevel="0" collapsed="false">
      <c r="A18" s="8"/>
      <c r="B18" s="8"/>
      <c r="C18" s="8"/>
      <c r="D18" s="8"/>
      <c r="E18" s="11"/>
      <c r="F18" s="11"/>
      <c r="G18" s="11"/>
      <c r="H18" s="12"/>
      <c r="I18" s="12"/>
      <c r="J18" s="12"/>
      <c r="K18" s="11"/>
      <c r="L18" s="11"/>
      <c r="M18" s="8"/>
      <c r="N18" s="48"/>
      <c r="O18" s="12"/>
      <c r="P18" s="12"/>
      <c r="Q18" s="49" t="str">
        <f aca="false">IF($AI18="","",INDEX('COD Network Fees'!$C$5:$C$23,$AI18))</f>
        <v/>
      </c>
      <c r="R18" s="13" t="str">
        <f aca="false">IF($AI18="","",IF(($H18+$I18+$J18)=0,0,($E18*$H18+$F18*$I18+$G18*$J18)/($H18+$I18+$J18)))</f>
        <v/>
      </c>
      <c r="S18" s="50" t="str">
        <f aca="false">IF($AI18="","",IF(($H18+$I18+$J18)=0,0,(Calculator!$H$7*$H18+Calculator!$H$8*$I18+Calculator!$H$9*$J18)/($H18+$I18+$J18)))</f>
        <v/>
      </c>
      <c r="T18" s="15" t="str">
        <f aca="false">IF($AI18="","",$N18*$O18)</f>
        <v/>
      </c>
      <c r="U18" s="15" t="str">
        <f aca="false">IF($AI18="","",$T18*(1-$P18))</f>
        <v/>
      </c>
      <c r="V18" s="15" t="str">
        <f aca="false">IF($AI18="","",$U18*$R18)</f>
        <v/>
      </c>
      <c r="W18" s="15" t="str">
        <f aca="false">IF($AI18="","",$N18*$L18*IF($M18="USD",INDEX('COD Network Fees'!$B$27:$B$29,MATCH($Q18,'COD Network Fees'!$A$27:$A$29,0)),1))</f>
        <v/>
      </c>
      <c r="X18" s="15" t="str">
        <f aca="false">IF($AI18="","",$U18*$S18*$K18)</f>
        <v/>
      </c>
      <c r="Y18" s="15" t="str">
        <f aca="false">IF($AI18="","",IF($D18="Yes",1,0)*($N18*IF($C18="Cosmetic",INDEX('COD Network Fees'!$G$5:$G$23,$AI18),INDEX('COD Network Fees'!$D$5:$D$23,$AI18))+$T18*IF($C18="Cosmetic",INDEX('COD Network Fees'!$H$5:$H$23,$AI18),INDEX('COD Network Fees'!$E$5:$E$23,$AI18))+$U18*IF($C18="Cosmetic",INDEX('COD Network Fees'!$I$5:$I$23,$AI18),INDEX('COD Network Fees'!$F$5:$F$23,$AI18))))</f>
        <v/>
      </c>
      <c r="Z18" s="15" t="str">
        <f aca="false">IF($AI18="","",$U18*IF(AND($D18="No",INDEX('COD Network Fees'!$M$5:$M$23,$AI18)&lt;&gt;""),INDEX('COD Network Fees'!$M$5:$M$23,$AI18),INDEX('COD Network Fees'!$K$5:$K$23,$AI18))+($T18-$U18)*IF(AND($D18="No",INDEX('COD Network Fees'!$M$5:$M$23,$AI18)&lt;&gt;""),INDEX('COD Network Fees'!$M$5:$M$23,$AI18),INDEX('COD Network Fees'!$L$5:$L$23,$AI18)))</f>
        <v/>
      </c>
      <c r="AA18" s="15" t="str">
        <f aca="false">IF($AI18="","",$T18*INDEX('COD Network Fees'!$N$5:$N$23,$AI18))</f>
        <v/>
      </c>
      <c r="AB18" s="15" t="str">
        <f aca="false">IF($AI18="","",$V18*INDEX('COD Network Fees'!$P$5:$P$23,$AI18))</f>
        <v/>
      </c>
      <c r="AC18" s="15" t="str">
        <f aca="false">IF($AI18="","",($V18-$Y18-$Z18-$AA18-$AB18)*Calculator!$B$19)</f>
        <v/>
      </c>
      <c r="AD18" s="51" t="str">
        <f aca="false">IF($AI18="","",$V18-$W18-$X18-$Y18-$Z18-$AA18-$AB18-$AC18)</f>
        <v/>
      </c>
      <c r="AE18" s="13" t="str">
        <f aca="false">IF($AI18="","",IF($U18=0,0,$AD18/$U18))</f>
        <v/>
      </c>
      <c r="AF18" s="52" t="str">
        <f aca="false">IF($AI18="","",IF($V18=0,0,$AD18/$V18))</f>
        <v/>
      </c>
      <c r="AG18" s="52" t="str">
        <f aca="false">IF($AI18="","",IF(($W18+$X18)=0,0,$AD18/($W18+$X18)))</f>
        <v/>
      </c>
      <c r="AH18" s="13" t="str">
        <f aca="false">IF($AI18="","",IF($N18=0,0,($AD18+$W18)/$N18/IF($M18="USD",INDEX('COD Network Fees'!$B$27:$B$29,MATCH($Q18,'COD Network Fees'!$A$27:$A$29,0)),1)))</f>
        <v/>
      </c>
      <c r="AI18" s="53" t="str">
        <f aca="false">IF($B18="","",MATCH($B18,'COD Network Fees'!$A$5:$A$23,0))</f>
        <v/>
      </c>
    </row>
    <row r="19" customFormat="false" ht="15" hidden="false" customHeight="false" outlineLevel="0" collapsed="false">
      <c r="A19" s="8"/>
      <c r="B19" s="8"/>
      <c r="C19" s="8"/>
      <c r="D19" s="8"/>
      <c r="E19" s="11"/>
      <c r="F19" s="11"/>
      <c r="G19" s="11"/>
      <c r="H19" s="12"/>
      <c r="I19" s="12"/>
      <c r="J19" s="12"/>
      <c r="K19" s="11"/>
      <c r="L19" s="11"/>
      <c r="M19" s="8"/>
      <c r="N19" s="48"/>
      <c r="O19" s="12"/>
      <c r="P19" s="12"/>
      <c r="Q19" s="49" t="str">
        <f aca="false">IF($AI19="","",INDEX('COD Network Fees'!$C$5:$C$23,$AI19))</f>
        <v/>
      </c>
      <c r="R19" s="13" t="str">
        <f aca="false">IF($AI19="","",IF(($H19+$I19+$J19)=0,0,($E19*$H19+$F19*$I19+$G19*$J19)/($H19+$I19+$J19)))</f>
        <v/>
      </c>
      <c r="S19" s="50" t="str">
        <f aca="false">IF($AI19="","",IF(($H19+$I19+$J19)=0,0,(Calculator!$H$7*$H19+Calculator!$H$8*$I19+Calculator!$H$9*$J19)/($H19+$I19+$J19)))</f>
        <v/>
      </c>
      <c r="T19" s="15" t="str">
        <f aca="false">IF($AI19="","",$N19*$O19)</f>
        <v/>
      </c>
      <c r="U19" s="15" t="str">
        <f aca="false">IF($AI19="","",$T19*(1-$P19))</f>
        <v/>
      </c>
      <c r="V19" s="15" t="str">
        <f aca="false">IF($AI19="","",$U19*$R19)</f>
        <v/>
      </c>
      <c r="W19" s="15" t="str">
        <f aca="false">IF($AI19="","",$N19*$L19*IF($M19="USD",INDEX('COD Network Fees'!$B$27:$B$29,MATCH($Q19,'COD Network Fees'!$A$27:$A$29,0)),1))</f>
        <v/>
      </c>
      <c r="X19" s="15" t="str">
        <f aca="false">IF($AI19="","",$U19*$S19*$K19)</f>
        <v/>
      </c>
      <c r="Y19" s="15" t="str">
        <f aca="false">IF($AI19="","",IF($D19="Yes",1,0)*($N19*IF($C19="Cosmetic",INDEX('COD Network Fees'!$G$5:$G$23,$AI19),INDEX('COD Network Fees'!$D$5:$D$23,$AI19))+$T19*IF($C19="Cosmetic",INDEX('COD Network Fees'!$H$5:$H$23,$AI19),INDEX('COD Network Fees'!$E$5:$E$23,$AI19))+$U19*IF($C19="Cosmetic",INDEX('COD Network Fees'!$I$5:$I$23,$AI19),INDEX('COD Network Fees'!$F$5:$F$23,$AI19))))</f>
        <v/>
      </c>
      <c r="Z19" s="15" t="str">
        <f aca="false">IF($AI19="","",$U19*IF(AND($D19="No",INDEX('COD Network Fees'!$M$5:$M$23,$AI19)&lt;&gt;""),INDEX('COD Network Fees'!$M$5:$M$23,$AI19),INDEX('COD Network Fees'!$K$5:$K$23,$AI19))+($T19-$U19)*IF(AND($D19="No",INDEX('COD Network Fees'!$M$5:$M$23,$AI19)&lt;&gt;""),INDEX('COD Network Fees'!$M$5:$M$23,$AI19),INDEX('COD Network Fees'!$L$5:$L$23,$AI19)))</f>
        <v/>
      </c>
      <c r="AA19" s="15" t="str">
        <f aca="false">IF($AI19="","",$T19*INDEX('COD Network Fees'!$N$5:$N$23,$AI19))</f>
        <v/>
      </c>
      <c r="AB19" s="15" t="str">
        <f aca="false">IF($AI19="","",$V19*INDEX('COD Network Fees'!$P$5:$P$23,$AI19))</f>
        <v/>
      </c>
      <c r="AC19" s="15" t="str">
        <f aca="false">IF($AI19="","",($V19-$Y19-$Z19-$AA19-$AB19)*Calculator!$B$19)</f>
        <v/>
      </c>
      <c r="AD19" s="51" t="str">
        <f aca="false">IF($AI19="","",$V19-$W19-$X19-$Y19-$Z19-$AA19-$AB19-$AC19)</f>
        <v/>
      </c>
      <c r="AE19" s="13" t="str">
        <f aca="false">IF($AI19="","",IF($U19=0,0,$AD19/$U19))</f>
        <v/>
      </c>
      <c r="AF19" s="52" t="str">
        <f aca="false">IF($AI19="","",IF($V19=0,0,$AD19/$V19))</f>
        <v/>
      </c>
      <c r="AG19" s="52" t="str">
        <f aca="false">IF($AI19="","",IF(($W19+$X19)=0,0,$AD19/($W19+$X19)))</f>
        <v/>
      </c>
      <c r="AH19" s="13" t="str">
        <f aca="false">IF($AI19="","",IF($N19=0,0,($AD19+$W19)/$N19/IF($M19="USD",INDEX('COD Network Fees'!$B$27:$B$29,MATCH($Q19,'COD Network Fees'!$A$27:$A$29,0)),1)))</f>
        <v/>
      </c>
      <c r="AI19" s="53" t="str">
        <f aca="false">IF($B19="","",MATCH($B19,'COD Network Fees'!$A$5:$A$23,0))</f>
        <v/>
      </c>
    </row>
    <row r="20" customFormat="false" ht="15" hidden="false" customHeight="false" outlineLevel="0" collapsed="false">
      <c r="A20" s="8"/>
      <c r="B20" s="8"/>
      <c r="C20" s="8"/>
      <c r="D20" s="8"/>
      <c r="E20" s="11"/>
      <c r="F20" s="11"/>
      <c r="G20" s="11"/>
      <c r="H20" s="12"/>
      <c r="I20" s="12"/>
      <c r="J20" s="12"/>
      <c r="K20" s="11"/>
      <c r="L20" s="11"/>
      <c r="M20" s="8"/>
      <c r="N20" s="48"/>
      <c r="O20" s="12"/>
      <c r="P20" s="12"/>
      <c r="Q20" s="49" t="str">
        <f aca="false">IF($AI20="","",INDEX('COD Network Fees'!$C$5:$C$23,$AI20))</f>
        <v/>
      </c>
      <c r="R20" s="13" t="str">
        <f aca="false">IF($AI20="","",IF(($H20+$I20+$J20)=0,0,($E20*$H20+$F20*$I20+$G20*$J20)/($H20+$I20+$J20)))</f>
        <v/>
      </c>
      <c r="S20" s="50" t="str">
        <f aca="false">IF($AI20="","",IF(($H20+$I20+$J20)=0,0,(Calculator!$H$7*$H20+Calculator!$H$8*$I20+Calculator!$H$9*$J20)/($H20+$I20+$J20)))</f>
        <v/>
      </c>
      <c r="T20" s="15" t="str">
        <f aca="false">IF($AI20="","",$N20*$O20)</f>
        <v/>
      </c>
      <c r="U20" s="15" t="str">
        <f aca="false">IF($AI20="","",$T20*(1-$P20))</f>
        <v/>
      </c>
      <c r="V20" s="15" t="str">
        <f aca="false">IF($AI20="","",$U20*$R20)</f>
        <v/>
      </c>
      <c r="W20" s="15" t="str">
        <f aca="false">IF($AI20="","",$N20*$L20*IF($M20="USD",INDEX('COD Network Fees'!$B$27:$B$29,MATCH($Q20,'COD Network Fees'!$A$27:$A$29,0)),1))</f>
        <v/>
      </c>
      <c r="X20" s="15" t="str">
        <f aca="false">IF($AI20="","",$U20*$S20*$K20)</f>
        <v/>
      </c>
      <c r="Y20" s="15" t="str">
        <f aca="false">IF($AI20="","",IF($D20="Yes",1,0)*($N20*IF($C20="Cosmetic",INDEX('COD Network Fees'!$G$5:$G$23,$AI20),INDEX('COD Network Fees'!$D$5:$D$23,$AI20))+$T20*IF($C20="Cosmetic",INDEX('COD Network Fees'!$H$5:$H$23,$AI20),INDEX('COD Network Fees'!$E$5:$E$23,$AI20))+$U20*IF($C20="Cosmetic",INDEX('COD Network Fees'!$I$5:$I$23,$AI20),INDEX('COD Network Fees'!$F$5:$F$23,$AI20))))</f>
        <v/>
      </c>
      <c r="Z20" s="15" t="str">
        <f aca="false">IF($AI20="","",$U20*IF(AND($D20="No",INDEX('COD Network Fees'!$M$5:$M$23,$AI20)&lt;&gt;""),INDEX('COD Network Fees'!$M$5:$M$23,$AI20),INDEX('COD Network Fees'!$K$5:$K$23,$AI20))+($T20-$U20)*IF(AND($D20="No",INDEX('COD Network Fees'!$M$5:$M$23,$AI20)&lt;&gt;""),INDEX('COD Network Fees'!$M$5:$M$23,$AI20),INDEX('COD Network Fees'!$L$5:$L$23,$AI20)))</f>
        <v/>
      </c>
      <c r="AA20" s="15" t="str">
        <f aca="false">IF($AI20="","",$T20*INDEX('COD Network Fees'!$N$5:$N$23,$AI20))</f>
        <v/>
      </c>
      <c r="AB20" s="15" t="str">
        <f aca="false">IF($AI20="","",$V20*INDEX('COD Network Fees'!$P$5:$P$23,$AI20))</f>
        <v/>
      </c>
      <c r="AC20" s="15" t="str">
        <f aca="false">IF($AI20="","",($V20-$Y20-$Z20-$AA20-$AB20)*Calculator!$B$19)</f>
        <v/>
      </c>
      <c r="AD20" s="51" t="str">
        <f aca="false">IF($AI20="","",$V20-$W20-$X20-$Y20-$Z20-$AA20-$AB20-$AC20)</f>
        <v/>
      </c>
      <c r="AE20" s="13" t="str">
        <f aca="false">IF($AI20="","",IF($U20=0,0,$AD20/$U20))</f>
        <v/>
      </c>
      <c r="AF20" s="52" t="str">
        <f aca="false">IF($AI20="","",IF($V20=0,0,$AD20/$V20))</f>
        <v/>
      </c>
      <c r="AG20" s="52" t="str">
        <f aca="false">IF($AI20="","",IF(($W20+$X20)=0,0,$AD20/($W20+$X20)))</f>
        <v/>
      </c>
      <c r="AH20" s="13" t="str">
        <f aca="false">IF($AI20="","",IF($N20=0,0,($AD20+$W20)/$N20/IF($M20="USD",INDEX('COD Network Fees'!$B$27:$B$29,MATCH($Q20,'COD Network Fees'!$A$27:$A$29,0)),1)))</f>
        <v/>
      </c>
      <c r="AI20" s="53" t="str">
        <f aca="false">IF($B20="","",MATCH($B20,'COD Network Fees'!$A$5:$A$23,0))</f>
        <v/>
      </c>
    </row>
    <row r="21" customFormat="false" ht="15" hidden="false" customHeight="false" outlineLevel="0" collapsed="false">
      <c r="A21" s="8"/>
      <c r="B21" s="8"/>
      <c r="C21" s="8"/>
      <c r="D21" s="8"/>
      <c r="E21" s="11"/>
      <c r="F21" s="11"/>
      <c r="G21" s="11"/>
      <c r="H21" s="12"/>
      <c r="I21" s="12"/>
      <c r="J21" s="12"/>
      <c r="K21" s="11"/>
      <c r="L21" s="11"/>
      <c r="M21" s="8"/>
      <c r="N21" s="48"/>
      <c r="O21" s="12"/>
      <c r="P21" s="12"/>
      <c r="Q21" s="49" t="str">
        <f aca="false">IF($AI21="","",INDEX('COD Network Fees'!$C$5:$C$23,$AI21))</f>
        <v/>
      </c>
      <c r="R21" s="13" t="str">
        <f aca="false">IF($AI21="","",IF(($H21+$I21+$J21)=0,0,($E21*$H21+$F21*$I21+$G21*$J21)/($H21+$I21+$J21)))</f>
        <v/>
      </c>
      <c r="S21" s="50" t="str">
        <f aca="false">IF($AI21="","",IF(($H21+$I21+$J21)=0,0,(Calculator!$H$7*$H21+Calculator!$H$8*$I21+Calculator!$H$9*$J21)/($H21+$I21+$J21)))</f>
        <v/>
      </c>
      <c r="T21" s="15" t="str">
        <f aca="false">IF($AI21="","",$N21*$O21)</f>
        <v/>
      </c>
      <c r="U21" s="15" t="str">
        <f aca="false">IF($AI21="","",$T21*(1-$P21))</f>
        <v/>
      </c>
      <c r="V21" s="15" t="str">
        <f aca="false">IF($AI21="","",$U21*$R21)</f>
        <v/>
      </c>
      <c r="W21" s="15" t="str">
        <f aca="false">IF($AI21="","",$N21*$L21*IF($M21="USD",INDEX('COD Network Fees'!$B$27:$B$29,MATCH($Q21,'COD Network Fees'!$A$27:$A$29,0)),1))</f>
        <v/>
      </c>
      <c r="X21" s="15" t="str">
        <f aca="false">IF($AI21="","",$U21*$S21*$K21)</f>
        <v/>
      </c>
      <c r="Y21" s="15" t="str">
        <f aca="false">IF($AI21="","",IF($D21="Yes",1,0)*($N21*IF($C21="Cosmetic",INDEX('COD Network Fees'!$G$5:$G$23,$AI21),INDEX('COD Network Fees'!$D$5:$D$23,$AI21))+$T21*IF($C21="Cosmetic",INDEX('COD Network Fees'!$H$5:$H$23,$AI21),INDEX('COD Network Fees'!$E$5:$E$23,$AI21))+$U21*IF($C21="Cosmetic",INDEX('COD Network Fees'!$I$5:$I$23,$AI21),INDEX('COD Network Fees'!$F$5:$F$23,$AI21))))</f>
        <v/>
      </c>
      <c r="Z21" s="15" t="str">
        <f aca="false">IF($AI21="","",$U21*IF(AND($D21="No",INDEX('COD Network Fees'!$M$5:$M$23,$AI21)&lt;&gt;""),INDEX('COD Network Fees'!$M$5:$M$23,$AI21),INDEX('COD Network Fees'!$K$5:$K$23,$AI21))+($T21-$U21)*IF(AND($D21="No",INDEX('COD Network Fees'!$M$5:$M$23,$AI21)&lt;&gt;""),INDEX('COD Network Fees'!$M$5:$M$23,$AI21),INDEX('COD Network Fees'!$L$5:$L$23,$AI21)))</f>
        <v/>
      </c>
      <c r="AA21" s="15" t="str">
        <f aca="false">IF($AI21="","",$T21*INDEX('COD Network Fees'!$N$5:$N$23,$AI21))</f>
        <v/>
      </c>
      <c r="AB21" s="15" t="str">
        <f aca="false">IF($AI21="","",$V21*INDEX('COD Network Fees'!$P$5:$P$23,$AI21))</f>
        <v/>
      </c>
      <c r="AC21" s="15" t="str">
        <f aca="false">IF($AI21="","",($V21-$Y21-$Z21-$AA21-$AB21)*Calculator!$B$19)</f>
        <v/>
      </c>
      <c r="AD21" s="51" t="str">
        <f aca="false">IF($AI21="","",$V21-$W21-$X21-$Y21-$Z21-$AA21-$AB21-$AC21)</f>
        <v/>
      </c>
      <c r="AE21" s="13" t="str">
        <f aca="false">IF($AI21="","",IF($U21=0,0,$AD21/$U21))</f>
        <v/>
      </c>
      <c r="AF21" s="52" t="str">
        <f aca="false">IF($AI21="","",IF($V21=0,0,$AD21/$V21))</f>
        <v/>
      </c>
      <c r="AG21" s="52" t="str">
        <f aca="false">IF($AI21="","",IF(($W21+$X21)=0,0,$AD21/($W21+$X21)))</f>
        <v/>
      </c>
      <c r="AH21" s="13" t="str">
        <f aca="false">IF($AI21="","",IF($N21=0,0,($AD21+$W21)/$N21/IF($M21="USD",INDEX('COD Network Fees'!$B$27:$B$29,MATCH($Q21,'COD Network Fees'!$A$27:$A$29,0)),1)))</f>
        <v/>
      </c>
      <c r="AI21" s="53" t="str">
        <f aca="false">IF($B21="","",MATCH($B21,'COD Network Fees'!$A$5:$A$23,0))</f>
        <v/>
      </c>
    </row>
    <row r="22" customFormat="false" ht="15" hidden="false" customHeight="false" outlineLevel="0" collapsed="false">
      <c r="A22" s="8"/>
      <c r="B22" s="8"/>
      <c r="C22" s="8"/>
      <c r="D22" s="8"/>
      <c r="E22" s="11"/>
      <c r="F22" s="11"/>
      <c r="G22" s="11"/>
      <c r="H22" s="12"/>
      <c r="I22" s="12"/>
      <c r="J22" s="12"/>
      <c r="K22" s="11"/>
      <c r="L22" s="11"/>
      <c r="M22" s="8"/>
      <c r="N22" s="48"/>
      <c r="O22" s="12"/>
      <c r="P22" s="12"/>
      <c r="Q22" s="49" t="str">
        <f aca="false">IF($AI22="","",INDEX('COD Network Fees'!$C$5:$C$23,$AI22))</f>
        <v/>
      </c>
      <c r="R22" s="13" t="str">
        <f aca="false">IF($AI22="","",IF(($H22+$I22+$J22)=0,0,($E22*$H22+$F22*$I22+$G22*$J22)/($H22+$I22+$J22)))</f>
        <v/>
      </c>
      <c r="S22" s="50" t="str">
        <f aca="false">IF($AI22="","",IF(($H22+$I22+$J22)=0,0,(Calculator!$H$7*$H22+Calculator!$H$8*$I22+Calculator!$H$9*$J22)/($H22+$I22+$J22)))</f>
        <v/>
      </c>
      <c r="T22" s="15" t="str">
        <f aca="false">IF($AI22="","",$N22*$O22)</f>
        <v/>
      </c>
      <c r="U22" s="15" t="str">
        <f aca="false">IF($AI22="","",$T22*(1-$P22))</f>
        <v/>
      </c>
      <c r="V22" s="15" t="str">
        <f aca="false">IF($AI22="","",$U22*$R22)</f>
        <v/>
      </c>
      <c r="W22" s="15" t="str">
        <f aca="false">IF($AI22="","",$N22*$L22*IF($M22="USD",INDEX('COD Network Fees'!$B$27:$B$29,MATCH($Q22,'COD Network Fees'!$A$27:$A$29,0)),1))</f>
        <v/>
      </c>
      <c r="X22" s="15" t="str">
        <f aca="false">IF($AI22="","",$U22*$S22*$K22)</f>
        <v/>
      </c>
      <c r="Y22" s="15" t="str">
        <f aca="false">IF($AI22="","",IF($D22="Yes",1,0)*($N22*IF($C22="Cosmetic",INDEX('COD Network Fees'!$G$5:$G$23,$AI22),INDEX('COD Network Fees'!$D$5:$D$23,$AI22))+$T22*IF($C22="Cosmetic",INDEX('COD Network Fees'!$H$5:$H$23,$AI22),INDEX('COD Network Fees'!$E$5:$E$23,$AI22))+$U22*IF($C22="Cosmetic",INDEX('COD Network Fees'!$I$5:$I$23,$AI22),INDEX('COD Network Fees'!$F$5:$F$23,$AI22))))</f>
        <v/>
      </c>
      <c r="Z22" s="15" t="str">
        <f aca="false">IF($AI22="","",$U22*IF(AND($D22="No",INDEX('COD Network Fees'!$M$5:$M$23,$AI22)&lt;&gt;""),INDEX('COD Network Fees'!$M$5:$M$23,$AI22),INDEX('COD Network Fees'!$K$5:$K$23,$AI22))+($T22-$U22)*IF(AND($D22="No",INDEX('COD Network Fees'!$M$5:$M$23,$AI22)&lt;&gt;""),INDEX('COD Network Fees'!$M$5:$M$23,$AI22),INDEX('COD Network Fees'!$L$5:$L$23,$AI22)))</f>
        <v/>
      </c>
      <c r="AA22" s="15" t="str">
        <f aca="false">IF($AI22="","",$T22*INDEX('COD Network Fees'!$N$5:$N$23,$AI22))</f>
        <v/>
      </c>
      <c r="AB22" s="15" t="str">
        <f aca="false">IF($AI22="","",$V22*INDEX('COD Network Fees'!$P$5:$P$23,$AI22))</f>
        <v/>
      </c>
      <c r="AC22" s="15" t="str">
        <f aca="false">IF($AI22="","",($V22-$Y22-$Z22-$AA22-$AB22)*Calculator!$B$19)</f>
        <v/>
      </c>
      <c r="AD22" s="51" t="str">
        <f aca="false">IF($AI22="","",$V22-$W22-$X22-$Y22-$Z22-$AA22-$AB22-$AC22)</f>
        <v/>
      </c>
      <c r="AE22" s="13" t="str">
        <f aca="false">IF($AI22="","",IF($U22=0,0,$AD22/$U22))</f>
        <v/>
      </c>
      <c r="AF22" s="52" t="str">
        <f aca="false">IF($AI22="","",IF($V22=0,0,$AD22/$V22))</f>
        <v/>
      </c>
      <c r="AG22" s="52" t="str">
        <f aca="false">IF($AI22="","",IF(($W22+$X22)=0,0,$AD22/($W22+$X22)))</f>
        <v/>
      </c>
      <c r="AH22" s="13" t="str">
        <f aca="false">IF($AI22="","",IF($N22=0,0,($AD22+$W22)/$N22/IF($M22="USD",INDEX('COD Network Fees'!$B$27:$B$29,MATCH($Q22,'COD Network Fees'!$A$27:$A$29,0)),1)))</f>
        <v/>
      </c>
      <c r="AI22" s="53" t="str">
        <f aca="false">IF($B22="","",MATCH($B22,'COD Network Fees'!$A$5:$A$23,0))</f>
        <v/>
      </c>
    </row>
    <row r="23" customFormat="false" ht="15" hidden="false" customHeight="false" outlineLevel="0" collapsed="false">
      <c r="A23" s="8"/>
      <c r="B23" s="8"/>
      <c r="C23" s="8"/>
      <c r="D23" s="8"/>
      <c r="E23" s="11"/>
      <c r="F23" s="11"/>
      <c r="G23" s="11"/>
      <c r="H23" s="12"/>
      <c r="I23" s="12"/>
      <c r="J23" s="12"/>
      <c r="K23" s="11"/>
      <c r="L23" s="11"/>
      <c r="M23" s="8"/>
      <c r="N23" s="48"/>
      <c r="O23" s="12"/>
      <c r="P23" s="12"/>
      <c r="Q23" s="49" t="str">
        <f aca="false">IF($AI23="","",INDEX('COD Network Fees'!$C$5:$C$23,$AI23))</f>
        <v/>
      </c>
      <c r="R23" s="13" t="str">
        <f aca="false">IF($AI23="","",IF(($H23+$I23+$J23)=0,0,($E23*$H23+$F23*$I23+$G23*$J23)/($H23+$I23+$J23)))</f>
        <v/>
      </c>
      <c r="S23" s="50" t="str">
        <f aca="false">IF($AI23="","",IF(($H23+$I23+$J23)=0,0,(Calculator!$H$7*$H23+Calculator!$H$8*$I23+Calculator!$H$9*$J23)/($H23+$I23+$J23)))</f>
        <v/>
      </c>
      <c r="T23" s="15" t="str">
        <f aca="false">IF($AI23="","",$N23*$O23)</f>
        <v/>
      </c>
      <c r="U23" s="15" t="str">
        <f aca="false">IF($AI23="","",$T23*(1-$P23))</f>
        <v/>
      </c>
      <c r="V23" s="15" t="str">
        <f aca="false">IF($AI23="","",$U23*$R23)</f>
        <v/>
      </c>
      <c r="W23" s="15" t="str">
        <f aca="false">IF($AI23="","",$N23*$L23*IF($M23="USD",INDEX('COD Network Fees'!$B$27:$B$29,MATCH($Q23,'COD Network Fees'!$A$27:$A$29,0)),1))</f>
        <v/>
      </c>
      <c r="X23" s="15" t="str">
        <f aca="false">IF($AI23="","",$U23*$S23*$K23)</f>
        <v/>
      </c>
      <c r="Y23" s="15" t="str">
        <f aca="false">IF($AI23="","",IF($D23="Yes",1,0)*($N23*IF($C23="Cosmetic",INDEX('COD Network Fees'!$G$5:$G$23,$AI23),INDEX('COD Network Fees'!$D$5:$D$23,$AI23))+$T23*IF($C23="Cosmetic",INDEX('COD Network Fees'!$H$5:$H$23,$AI23),INDEX('COD Network Fees'!$E$5:$E$23,$AI23))+$U23*IF($C23="Cosmetic",INDEX('COD Network Fees'!$I$5:$I$23,$AI23),INDEX('COD Network Fees'!$F$5:$F$23,$AI23))))</f>
        <v/>
      </c>
      <c r="Z23" s="15" t="str">
        <f aca="false">IF($AI23="","",$U23*IF(AND($D23="No",INDEX('COD Network Fees'!$M$5:$M$23,$AI23)&lt;&gt;""),INDEX('COD Network Fees'!$M$5:$M$23,$AI23),INDEX('COD Network Fees'!$K$5:$K$23,$AI23))+($T23-$U23)*IF(AND($D23="No",INDEX('COD Network Fees'!$M$5:$M$23,$AI23)&lt;&gt;""),INDEX('COD Network Fees'!$M$5:$M$23,$AI23),INDEX('COD Network Fees'!$L$5:$L$23,$AI23)))</f>
        <v/>
      </c>
      <c r="AA23" s="15" t="str">
        <f aca="false">IF($AI23="","",$T23*INDEX('COD Network Fees'!$N$5:$N$23,$AI23))</f>
        <v/>
      </c>
      <c r="AB23" s="15" t="str">
        <f aca="false">IF($AI23="","",$V23*INDEX('COD Network Fees'!$P$5:$P$23,$AI23))</f>
        <v/>
      </c>
      <c r="AC23" s="15" t="str">
        <f aca="false">IF($AI23="","",($V23-$Y23-$Z23-$AA23-$AB23)*Calculator!$B$19)</f>
        <v/>
      </c>
      <c r="AD23" s="51" t="str">
        <f aca="false">IF($AI23="","",$V23-$W23-$X23-$Y23-$Z23-$AA23-$AB23-$AC23)</f>
        <v/>
      </c>
      <c r="AE23" s="13" t="str">
        <f aca="false">IF($AI23="","",IF($U23=0,0,$AD23/$U23))</f>
        <v/>
      </c>
      <c r="AF23" s="52" t="str">
        <f aca="false">IF($AI23="","",IF($V23=0,0,$AD23/$V23))</f>
        <v/>
      </c>
      <c r="AG23" s="52" t="str">
        <f aca="false">IF($AI23="","",IF(($W23+$X23)=0,0,$AD23/($W23+$X23)))</f>
        <v/>
      </c>
      <c r="AH23" s="13" t="str">
        <f aca="false">IF($AI23="","",IF($N23=0,0,($AD23+$W23)/$N23/IF($M23="USD",INDEX('COD Network Fees'!$B$27:$B$29,MATCH($Q23,'COD Network Fees'!$A$27:$A$29,0)),1)))</f>
        <v/>
      </c>
      <c r="AI23" s="53" t="str">
        <f aca="false">IF($B23="","",MATCH($B23,'COD Network Fees'!$A$5:$A$23,0))</f>
        <v/>
      </c>
    </row>
    <row r="24" customFormat="false" ht="15" hidden="false" customHeight="false" outlineLevel="0" collapsed="false">
      <c r="A24" s="8"/>
      <c r="B24" s="8"/>
      <c r="C24" s="8"/>
      <c r="D24" s="8"/>
      <c r="E24" s="11"/>
      <c r="F24" s="11"/>
      <c r="G24" s="11"/>
      <c r="H24" s="12"/>
      <c r="I24" s="12"/>
      <c r="J24" s="12"/>
      <c r="K24" s="11"/>
      <c r="L24" s="11"/>
      <c r="M24" s="8"/>
      <c r="N24" s="48"/>
      <c r="O24" s="12"/>
      <c r="P24" s="12"/>
      <c r="Q24" s="49" t="str">
        <f aca="false">IF($AI24="","",INDEX('COD Network Fees'!$C$5:$C$23,$AI24))</f>
        <v/>
      </c>
      <c r="R24" s="13" t="str">
        <f aca="false">IF($AI24="","",IF(($H24+$I24+$J24)=0,0,($E24*$H24+$F24*$I24+$G24*$J24)/($H24+$I24+$J24)))</f>
        <v/>
      </c>
      <c r="S24" s="50" t="str">
        <f aca="false">IF($AI24="","",IF(($H24+$I24+$J24)=0,0,(Calculator!$H$7*$H24+Calculator!$H$8*$I24+Calculator!$H$9*$J24)/($H24+$I24+$J24)))</f>
        <v/>
      </c>
      <c r="T24" s="15" t="str">
        <f aca="false">IF($AI24="","",$N24*$O24)</f>
        <v/>
      </c>
      <c r="U24" s="15" t="str">
        <f aca="false">IF($AI24="","",$T24*(1-$P24))</f>
        <v/>
      </c>
      <c r="V24" s="15" t="str">
        <f aca="false">IF($AI24="","",$U24*$R24)</f>
        <v/>
      </c>
      <c r="W24" s="15" t="str">
        <f aca="false">IF($AI24="","",$N24*$L24*IF($M24="USD",INDEX('COD Network Fees'!$B$27:$B$29,MATCH($Q24,'COD Network Fees'!$A$27:$A$29,0)),1))</f>
        <v/>
      </c>
      <c r="X24" s="15" t="str">
        <f aca="false">IF($AI24="","",$U24*$S24*$K24)</f>
        <v/>
      </c>
      <c r="Y24" s="15" t="str">
        <f aca="false">IF($AI24="","",IF($D24="Yes",1,0)*($N24*IF($C24="Cosmetic",INDEX('COD Network Fees'!$G$5:$G$23,$AI24),INDEX('COD Network Fees'!$D$5:$D$23,$AI24))+$T24*IF($C24="Cosmetic",INDEX('COD Network Fees'!$H$5:$H$23,$AI24),INDEX('COD Network Fees'!$E$5:$E$23,$AI24))+$U24*IF($C24="Cosmetic",INDEX('COD Network Fees'!$I$5:$I$23,$AI24),INDEX('COD Network Fees'!$F$5:$F$23,$AI24))))</f>
        <v/>
      </c>
      <c r="Z24" s="15" t="str">
        <f aca="false">IF($AI24="","",$U24*IF(AND($D24="No",INDEX('COD Network Fees'!$M$5:$M$23,$AI24)&lt;&gt;""),INDEX('COD Network Fees'!$M$5:$M$23,$AI24),INDEX('COD Network Fees'!$K$5:$K$23,$AI24))+($T24-$U24)*IF(AND($D24="No",INDEX('COD Network Fees'!$M$5:$M$23,$AI24)&lt;&gt;""),INDEX('COD Network Fees'!$M$5:$M$23,$AI24),INDEX('COD Network Fees'!$L$5:$L$23,$AI24)))</f>
        <v/>
      </c>
      <c r="AA24" s="15" t="str">
        <f aca="false">IF($AI24="","",$T24*INDEX('COD Network Fees'!$N$5:$N$23,$AI24))</f>
        <v/>
      </c>
      <c r="AB24" s="15" t="str">
        <f aca="false">IF($AI24="","",$V24*INDEX('COD Network Fees'!$P$5:$P$23,$AI24))</f>
        <v/>
      </c>
      <c r="AC24" s="15" t="str">
        <f aca="false">IF($AI24="","",($V24-$Y24-$Z24-$AA24-$AB24)*Calculator!$B$19)</f>
        <v/>
      </c>
      <c r="AD24" s="51" t="str">
        <f aca="false">IF($AI24="","",$V24-$W24-$X24-$Y24-$Z24-$AA24-$AB24-$AC24)</f>
        <v/>
      </c>
      <c r="AE24" s="13" t="str">
        <f aca="false">IF($AI24="","",IF($U24=0,0,$AD24/$U24))</f>
        <v/>
      </c>
      <c r="AF24" s="52" t="str">
        <f aca="false">IF($AI24="","",IF($V24=0,0,$AD24/$V24))</f>
        <v/>
      </c>
      <c r="AG24" s="52" t="str">
        <f aca="false">IF($AI24="","",IF(($W24+$X24)=0,0,$AD24/($W24+$X24)))</f>
        <v/>
      </c>
      <c r="AH24" s="13" t="str">
        <f aca="false">IF($AI24="","",IF($N24=0,0,($AD24+$W24)/$N24/IF($M24="USD",INDEX('COD Network Fees'!$B$27:$B$29,MATCH($Q24,'COD Network Fees'!$A$27:$A$29,0)),1)))</f>
        <v/>
      </c>
      <c r="AI24" s="53" t="str">
        <f aca="false">IF($B24="","",MATCH($B24,'COD Network Fees'!$A$5:$A$23,0))</f>
        <v/>
      </c>
    </row>
    <row r="26" customFormat="false" ht="15" hidden="false" customHeight="false" outlineLevel="0" collapsed="false">
      <c r="A26" s="2" t="s">
        <v>169</v>
      </c>
    </row>
  </sheetData>
  <conditionalFormatting sqref="AD5:AD24">
    <cfRule type="cellIs" priority="2" operator="lessThan" aboveAverage="0" equalAverage="0" bottom="0" percent="0" rank="0" text="" dxfId="2">
      <formula>0</formula>
    </cfRule>
    <cfRule type="cellIs" priority="3" operator="greaterThan" aboveAverage="0" equalAverage="0" bottom="0" percent="0" rank="0" text="" dxfId="3">
      <formula>0</formula>
    </cfRule>
  </conditionalFormatting>
  <dataValidations count="4">
    <dataValidation allowBlank="true" errorStyle="stop" operator="between" showDropDown="false" showErrorMessage="false" showInputMessage="false" sqref="B5:B24" type="list">
      <formula1>'COD Network Fees'!$A$5:$A$23</formula1>
      <formula2>0</formula2>
    </dataValidation>
    <dataValidation allowBlank="true" errorStyle="stop" operator="between" showDropDown="false" showErrorMessage="false" showInputMessage="false" sqref="C5:C24" type="list">
      <formula1>"Gadget,Cosmetic"</formula1>
      <formula2>0</formula2>
    </dataValidation>
    <dataValidation allowBlank="true" errorStyle="stop" operator="between" showDropDown="false" showErrorMessage="false" showInputMessage="false" sqref="D5:D24" type="list">
      <formula1>"Yes,No"</formula1>
      <formula2>0</formula2>
    </dataValidation>
    <dataValidation allowBlank="true" errorStyle="stop" operator="between" showDropDown="false" showErrorMessage="false" showInputMessage="false" sqref="M5:M24" type="list">
      <formula1>"USD,Market currency"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16" min="4" style="0" width="12"/>
    <col collapsed="false" customWidth="true" hidden="false" outlineLevel="0" max="17" min="17" style="0" width="55"/>
  </cols>
  <sheetData>
    <row r="1" customFormat="false" ht="17.35" hidden="false" customHeight="false" outlineLevel="0" collapsed="false">
      <c r="A1" s="46" t="s">
        <v>170</v>
      </c>
    </row>
    <row r="2" customFormat="false" ht="15" hidden="false" customHeight="false" outlineLevel="0" collapsed="false">
      <c r="A2" s="2" t="s">
        <v>171</v>
      </c>
    </row>
    <row r="4" customFormat="false" ht="45" hidden="false" customHeight="true" outlineLevel="0" collapsed="false">
      <c r="A4" s="47" t="s">
        <v>137</v>
      </c>
      <c r="B4" s="47" t="s">
        <v>75</v>
      </c>
      <c r="C4" s="47" t="s">
        <v>77</v>
      </c>
      <c r="D4" s="47" t="s">
        <v>172</v>
      </c>
      <c r="E4" s="47" t="s">
        <v>173</v>
      </c>
      <c r="F4" s="47" t="s">
        <v>174</v>
      </c>
      <c r="G4" s="47" t="s">
        <v>175</v>
      </c>
      <c r="H4" s="47" t="s">
        <v>176</v>
      </c>
      <c r="I4" s="47" t="s">
        <v>177</v>
      </c>
      <c r="J4" s="47" t="s">
        <v>178</v>
      </c>
      <c r="K4" s="47" t="s">
        <v>179</v>
      </c>
      <c r="L4" s="47" t="s">
        <v>180</v>
      </c>
      <c r="M4" s="47" t="s">
        <v>181</v>
      </c>
      <c r="N4" s="47" t="s">
        <v>182</v>
      </c>
      <c r="O4" s="47" t="s">
        <v>183</v>
      </c>
      <c r="P4" s="47" t="s">
        <v>184</v>
      </c>
      <c r="Q4" s="47" t="s">
        <v>185</v>
      </c>
    </row>
    <row r="5" customFormat="false" ht="15" hidden="false" customHeight="false" outlineLevel="0" collapsed="false">
      <c r="A5" s="49" t="s">
        <v>186</v>
      </c>
      <c r="B5" s="49" t="s">
        <v>187</v>
      </c>
      <c r="C5" s="49" t="s">
        <v>39</v>
      </c>
      <c r="D5" s="54" t="n">
        <v>0.5</v>
      </c>
      <c r="E5" s="54" t="n">
        <v>1</v>
      </c>
      <c r="F5" s="54" t="n">
        <v>2</v>
      </c>
      <c r="G5" s="54" t="n">
        <v>0.5</v>
      </c>
      <c r="H5" s="54" t="n">
        <v>2</v>
      </c>
      <c r="I5" s="54" t="n">
        <v>3</v>
      </c>
      <c r="J5" s="54" t="n">
        <v>1</v>
      </c>
      <c r="K5" s="54" t="n">
        <v>5.99</v>
      </c>
      <c r="L5" s="54" t="n">
        <v>4.99</v>
      </c>
      <c r="M5" s="54" t="n">
        <v>6.99</v>
      </c>
      <c r="N5" s="54" t="n">
        <v>0</v>
      </c>
      <c r="O5" s="54" t="n">
        <v>1</v>
      </c>
      <c r="P5" s="55" t="n">
        <v>0.05</v>
      </c>
      <c r="Q5" s="56" t="s">
        <v>188</v>
      </c>
    </row>
    <row r="6" customFormat="false" ht="15" hidden="false" customHeight="false" outlineLevel="0" collapsed="false">
      <c r="A6" s="49" t="s">
        <v>164</v>
      </c>
      <c r="B6" s="49" t="s">
        <v>187</v>
      </c>
      <c r="C6" s="49" t="s">
        <v>39</v>
      </c>
      <c r="D6" s="54" t="n">
        <v>0.5</v>
      </c>
      <c r="E6" s="54" t="n">
        <v>1</v>
      </c>
      <c r="F6" s="54" t="n">
        <v>2</v>
      </c>
      <c r="G6" s="54" t="n">
        <v>0.5</v>
      </c>
      <c r="H6" s="54" t="n">
        <v>2</v>
      </c>
      <c r="I6" s="54" t="n">
        <v>3</v>
      </c>
      <c r="J6" s="54" t="n">
        <v>1</v>
      </c>
      <c r="K6" s="54" t="n">
        <v>4.99</v>
      </c>
      <c r="L6" s="54" t="n">
        <v>2.99</v>
      </c>
      <c r="M6" s="54" t="n">
        <v>6.99</v>
      </c>
      <c r="N6" s="54" t="n">
        <v>0</v>
      </c>
      <c r="O6" s="54" t="n">
        <v>1</v>
      </c>
      <c r="P6" s="55" t="n">
        <v>0.05</v>
      </c>
      <c r="Q6" s="56" t="s">
        <v>188</v>
      </c>
    </row>
    <row r="7" customFormat="false" ht="15" hidden="false" customHeight="false" outlineLevel="0" collapsed="false">
      <c r="A7" s="49" t="s">
        <v>189</v>
      </c>
      <c r="B7" s="49" t="s">
        <v>187</v>
      </c>
      <c r="C7" s="49" t="s">
        <v>39</v>
      </c>
      <c r="D7" s="54" t="n">
        <v>0.5</v>
      </c>
      <c r="E7" s="54" t="n">
        <v>1</v>
      </c>
      <c r="F7" s="54" t="n">
        <v>2</v>
      </c>
      <c r="G7" s="54" t="n">
        <v>0.5</v>
      </c>
      <c r="H7" s="54" t="n">
        <v>2</v>
      </c>
      <c r="I7" s="54" t="n">
        <v>3</v>
      </c>
      <c r="J7" s="54" t="n">
        <v>1</v>
      </c>
      <c r="K7" s="54" t="n">
        <v>6.99</v>
      </c>
      <c r="L7" s="54" t="n">
        <v>5.99</v>
      </c>
      <c r="M7" s="54" t="n">
        <v>7.99</v>
      </c>
      <c r="N7" s="54" t="n">
        <v>0</v>
      </c>
      <c r="O7" s="54" t="n">
        <v>1</v>
      </c>
      <c r="P7" s="55" t="n">
        <v>0.05</v>
      </c>
      <c r="Q7" s="56" t="s">
        <v>188</v>
      </c>
    </row>
    <row r="8" customFormat="false" ht="15" hidden="false" customHeight="false" outlineLevel="0" collapsed="false">
      <c r="A8" s="49" t="s">
        <v>190</v>
      </c>
      <c r="B8" s="49" t="s">
        <v>187</v>
      </c>
      <c r="C8" s="49" t="s">
        <v>39</v>
      </c>
      <c r="D8" s="54" t="n">
        <v>0.5</v>
      </c>
      <c r="E8" s="54" t="n">
        <v>1</v>
      </c>
      <c r="F8" s="54" t="n">
        <v>2</v>
      </c>
      <c r="G8" s="54" t="n">
        <v>0.5</v>
      </c>
      <c r="H8" s="54" t="n">
        <v>2</v>
      </c>
      <c r="I8" s="54" t="n">
        <v>3</v>
      </c>
      <c r="J8" s="54" t="n">
        <v>1</v>
      </c>
      <c r="K8" s="54" t="n">
        <v>6.99</v>
      </c>
      <c r="L8" s="54" t="n">
        <v>5.99</v>
      </c>
      <c r="M8" s="54" t="n">
        <v>7.99</v>
      </c>
      <c r="N8" s="54" t="n">
        <v>0</v>
      </c>
      <c r="O8" s="54" t="n">
        <v>1</v>
      </c>
      <c r="P8" s="55" t="n">
        <v>0.05</v>
      </c>
      <c r="Q8" s="56" t="s">
        <v>188</v>
      </c>
    </row>
    <row r="9" customFormat="false" ht="15" hidden="false" customHeight="false" outlineLevel="0" collapsed="false">
      <c r="A9" s="49" t="s">
        <v>191</v>
      </c>
      <c r="B9" s="49" t="s">
        <v>187</v>
      </c>
      <c r="C9" s="49" t="s">
        <v>39</v>
      </c>
      <c r="D9" s="54" t="n">
        <v>0.5</v>
      </c>
      <c r="E9" s="54" t="n">
        <v>1</v>
      </c>
      <c r="F9" s="54" t="n">
        <v>2</v>
      </c>
      <c r="G9" s="54" t="n">
        <v>0.5</v>
      </c>
      <c r="H9" s="54" t="n">
        <v>2</v>
      </c>
      <c r="I9" s="54" t="n">
        <v>3</v>
      </c>
      <c r="J9" s="54" t="n">
        <v>1</v>
      </c>
      <c r="K9" s="54" t="n">
        <v>6.99</v>
      </c>
      <c r="L9" s="54" t="n">
        <v>5.99</v>
      </c>
      <c r="M9" s="54" t="n">
        <v>7.99</v>
      </c>
      <c r="N9" s="54" t="n">
        <v>0</v>
      </c>
      <c r="O9" s="54" t="n">
        <v>1</v>
      </c>
      <c r="P9" s="55" t="n">
        <v>0.05</v>
      </c>
      <c r="Q9" s="56" t="s">
        <v>188</v>
      </c>
    </row>
    <row r="10" customFormat="false" ht="15" hidden="false" customHeight="false" outlineLevel="0" collapsed="false">
      <c r="A10" s="49" t="s">
        <v>192</v>
      </c>
      <c r="B10" s="49" t="s">
        <v>187</v>
      </c>
      <c r="C10" s="49" t="s">
        <v>39</v>
      </c>
      <c r="D10" s="54" t="n">
        <v>0.5</v>
      </c>
      <c r="E10" s="54" t="n">
        <v>1</v>
      </c>
      <c r="F10" s="54" t="n">
        <v>2</v>
      </c>
      <c r="G10" s="54" t="n">
        <v>0.5</v>
      </c>
      <c r="H10" s="54" t="n">
        <v>2</v>
      </c>
      <c r="I10" s="54" t="n">
        <v>3</v>
      </c>
      <c r="J10" s="54" t="n">
        <v>1</v>
      </c>
      <c r="K10" s="54" t="n">
        <v>6.99</v>
      </c>
      <c r="L10" s="54" t="n">
        <v>5.99</v>
      </c>
      <c r="M10" s="54" t="n">
        <v>7.99</v>
      </c>
      <c r="N10" s="54" t="n">
        <v>0</v>
      </c>
      <c r="O10" s="54" t="n">
        <v>1</v>
      </c>
      <c r="P10" s="55" t="n">
        <v>0.05</v>
      </c>
      <c r="Q10" s="56" t="s">
        <v>188</v>
      </c>
    </row>
    <row r="11" customFormat="false" ht="15" hidden="false" customHeight="false" outlineLevel="0" collapsed="false">
      <c r="A11" s="49" t="s">
        <v>5</v>
      </c>
      <c r="B11" s="49" t="s">
        <v>5</v>
      </c>
      <c r="C11" s="49" t="s">
        <v>193</v>
      </c>
      <c r="D11" s="54" t="n">
        <v>2</v>
      </c>
      <c r="E11" s="54" t="n">
        <v>4</v>
      </c>
      <c r="F11" s="54" t="n">
        <v>7</v>
      </c>
      <c r="G11" s="54" t="n">
        <v>2</v>
      </c>
      <c r="H11" s="54" t="n">
        <v>4</v>
      </c>
      <c r="I11" s="54" t="n">
        <v>7</v>
      </c>
      <c r="J11" s="54" t="n">
        <v>5</v>
      </c>
      <c r="K11" s="54" t="n">
        <v>35</v>
      </c>
      <c r="L11" s="54" t="n">
        <v>9</v>
      </c>
      <c r="M11" s="54"/>
      <c r="N11" s="54" t="n">
        <v>8</v>
      </c>
      <c r="O11" s="54" t="n">
        <v>0</v>
      </c>
      <c r="P11" s="55" t="n">
        <v>0</v>
      </c>
      <c r="Q11" s="56" t="s">
        <v>194</v>
      </c>
    </row>
    <row r="12" customFormat="false" ht="15" hidden="false" customHeight="false" outlineLevel="0" collapsed="false">
      <c r="A12" s="49" t="s">
        <v>167</v>
      </c>
      <c r="B12" s="49" t="s">
        <v>195</v>
      </c>
      <c r="C12" s="49" t="s">
        <v>196</v>
      </c>
      <c r="D12" s="54" t="n">
        <v>0.5</v>
      </c>
      <c r="E12" s="54" t="n">
        <v>1</v>
      </c>
      <c r="F12" s="54" t="n">
        <v>2</v>
      </c>
      <c r="G12" s="54" t="n">
        <v>0.5</v>
      </c>
      <c r="H12" s="54" t="n">
        <v>1</v>
      </c>
      <c r="I12" s="54" t="n">
        <v>2</v>
      </c>
      <c r="J12" s="54" t="n">
        <v>1</v>
      </c>
      <c r="K12" s="54" t="n">
        <v>7.99</v>
      </c>
      <c r="L12" s="54" t="n">
        <v>6.99</v>
      </c>
      <c r="M12" s="54"/>
      <c r="N12" s="54" t="n">
        <v>0</v>
      </c>
      <c r="O12" s="54" t="n">
        <v>0</v>
      </c>
      <c r="P12" s="55" t="n">
        <v>0.05</v>
      </c>
      <c r="Q12" s="56" t="s">
        <v>197</v>
      </c>
    </row>
    <row r="13" customFormat="false" ht="15" hidden="false" customHeight="false" outlineLevel="0" collapsed="false">
      <c r="A13" s="49" t="s">
        <v>198</v>
      </c>
      <c r="B13" s="49" t="s">
        <v>195</v>
      </c>
      <c r="C13" s="49" t="s">
        <v>196</v>
      </c>
      <c r="D13" s="54" t="n">
        <v>0.5</v>
      </c>
      <c r="E13" s="54" t="n">
        <v>1</v>
      </c>
      <c r="F13" s="54" t="n">
        <v>2</v>
      </c>
      <c r="G13" s="54" t="n">
        <v>0.5</v>
      </c>
      <c r="H13" s="54" t="n">
        <v>1</v>
      </c>
      <c r="I13" s="54" t="n">
        <v>2</v>
      </c>
      <c r="J13" s="54" t="n">
        <v>1</v>
      </c>
      <c r="K13" s="54" t="n">
        <v>7.99</v>
      </c>
      <c r="L13" s="54" t="n">
        <v>8.99</v>
      </c>
      <c r="M13" s="54"/>
      <c r="N13" s="54" t="n">
        <v>0</v>
      </c>
      <c r="O13" s="54" t="n">
        <v>0</v>
      </c>
      <c r="P13" s="55" t="n">
        <v>0.05</v>
      </c>
      <c r="Q13" s="56" t="s">
        <v>197</v>
      </c>
    </row>
    <row r="14" customFormat="false" ht="15" hidden="false" customHeight="false" outlineLevel="0" collapsed="false">
      <c r="A14" s="49" t="s">
        <v>199</v>
      </c>
      <c r="B14" s="49" t="s">
        <v>195</v>
      </c>
      <c r="C14" s="49" t="s">
        <v>196</v>
      </c>
      <c r="D14" s="54" t="n">
        <v>0.5</v>
      </c>
      <c r="E14" s="54" t="n">
        <v>1</v>
      </c>
      <c r="F14" s="54" t="n">
        <v>2</v>
      </c>
      <c r="G14" s="54" t="n">
        <v>0.5</v>
      </c>
      <c r="H14" s="54" t="n">
        <v>1</v>
      </c>
      <c r="I14" s="54" t="n">
        <v>2</v>
      </c>
      <c r="J14" s="54" t="n">
        <v>1</v>
      </c>
      <c r="K14" s="54" t="n">
        <v>6.99</v>
      </c>
      <c r="L14" s="54" t="n">
        <v>5.99</v>
      </c>
      <c r="M14" s="54"/>
      <c r="N14" s="54" t="n">
        <v>0</v>
      </c>
      <c r="O14" s="54" t="n">
        <v>0</v>
      </c>
      <c r="P14" s="55" t="n">
        <v>0.05</v>
      </c>
      <c r="Q14" s="56" t="s">
        <v>197</v>
      </c>
    </row>
    <row r="15" customFormat="false" ht="15" hidden="false" customHeight="false" outlineLevel="0" collapsed="false">
      <c r="A15" s="49" t="s">
        <v>200</v>
      </c>
      <c r="B15" s="49" t="s">
        <v>195</v>
      </c>
      <c r="C15" s="49" t="s">
        <v>196</v>
      </c>
      <c r="D15" s="54" t="n">
        <v>0.5</v>
      </c>
      <c r="E15" s="54" t="n">
        <v>1</v>
      </c>
      <c r="F15" s="54" t="n">
        <v>2</v>
      </c>
      <c r="G15" s="54" t="n">
        <v>0.5</v>
      </c>
      <c r="H15" s="54" t="n">
        <v>1</v>
      </c>
      <c r="I15" s="54" t="n">
        <v>2</v>
      </c>
      <c r="J15" s="54" t="n">
        <v>1</v>
      </c>
      <c r="K15" s="54" t="n">
        <v>7.99</v>
      </c>
      <c r="L15" s="54" t="n">
        <v>6.99</v>
      </c>
      <c r="M15" s="54"/>
      <c r="N15" s="54" t="n">
        <v>0</v>
      </c>
      <c r="O15" s="54" t="n">
        <v>0</v>
      </c>
      <c r="P15" s="55" t="n">
        <v>0.05</v>
      </c>
      <c r="Q15" s="56" t="s">
        <v>197</v>
      </c>
    </row>
    <row r="16" customFormat="false" ht="15" hidden="false" customHeight="false" outlineLevel="0" collapsed="false">
      <c r="A16" s="49" t="s">
        <v>201</v>
      </c>
      <c r="B16" s="49" t="s">
        <v>195</v>
      </c>
      <c r="C16" s="49" t="s">
        <v>196</v>
      </c>
      <c r="D16" s="54" t="n">
        <v>0.5</v>
      </c>
      <c r="E16" s="54" t="n">
        <v>1</v>
      </c>
      <c r="F16" s="54" t="n">
        <v>2</v>
      </c>
      <c r="G16" s="54" t="n">
        <v>0.5</v>
      </c>
      <c r="H16" s="54" t="n">
        <v>1</v>
      </c>
      <c r="I16" s="54" t="n">
        <v>2</v>
      </c>
      <c r="J16" s="54" t="n">
        <v>1</v>
      </c>
      <c r="K16" s="54" t="n">
        <v>7.99</v>
      </c>
      <c r="L16" s="54" t="n">
        <v>6.99</v>
      </c>
      <c r="M16" s="54"/>
      <c r="N16" s="54" t="n">
        <v>0</v>
      </c>
      <c r="O16" s="54" t="n">
        <v>0</v>
      </c>
      <c r="P16" s="55" t="n">
        <v>0.05</v>
      </c>
      <c r="Q16" s="56" t="s">
        <v>197</v>
      </c>
    </row>
    <row r="17" customFormat="false" ht="15" hidden="false" customHeight="false" outlineLevel="0" collapsed="false">
      <c r="A17" s="49" t="s">
        <v>202</v>
      </c>
      <c r="B17" s="49" t="s">
        <v>195</v>
      </c>
      <c r="C17" s="49" t="s">
        <v>196</v>
      </c>
      <c r="D17" s="54" t="n">
        <v>0.5</v>
      </c>
      <c r="E17" s="54" t="n">
        <v>1</v>
      </c>
      <c r="F17" s="54" t="n">
        <v>2</v>
      </c>
      <c r="G17" s="54" t="n">
        <v>0.5</v>
      </c>
      <c r="H17" s="54" t="n">
        <v>1</v>
      </c>
      <c r="I17" s="54" t="n">
        <v>2</v>
      </c>
      <c r="J17" s="54" t="n">
        <v>1</v>
      </c>
      <c r="K17" s="54" t="n">
        <v>7.99</v>
      </c>
      <c r="L17" s="54" t="n">
        <v>6.99</v>
      </c>
      <c r="M17" s="54"/>
      <c r="N17" s="54" t="n">
        <v>0</v>
      </c>
      <c r="O17" s="54" t="n">
        <v>0</v>
      </c>
      <c r="P17" s="55" t="n">
        <v>0.05</v>
      </c>
      <c r="Q17" s="56" t="s">
        <v>197</v>
      </c>
    </row>
    <row r="18" customFormat="false" ht="15" hidden="false" customHeight="false" outlineLevel="0" collapsed="false">
      <c r="A18" s="49" t="s">
        <v>203</v>
      </c>
      <c r="B18" s="49" t="s">
        <v>195</v>
      </c>
      <c r="C18" s="49" t="s">
        <v>196</v>
      </c>
      <c r="D18" s="54" t="n">
        <v>0.5</v>
      </c>
      <c r="E18" s="54" t="n">
        <v>1</v>
      </c>
      <c r="F18" s="54" t="n">
        <v>2</v>
      </c>
      <c r="G18" s="54" t="n">
        <v>0.5</v>
      </c>
      <c r="H18" s="54" t="n">
        <v>1</v>
      </c>
      <c r="I18" s="54" t="n">
        <v>2</v>
      </c>
      <c r="J18" s="54" t="n">
        <v>1</v>
      </c>
      <c r="K18" s="54" t="n">
        <v>7.99</v>
      </c>
      <c r="L18" s="54" t="n">
        <v>6.99</v>
      </c>
      <c r="M18" s="54"/>
      <c r="N18" s="54" t="n">
        <v>0</v>
      </c>
      <c r="O18" s="54" t="n">
        <v>0</v>
      </c>
      <c r="P18" s="55" t="n">
        <v>0.05</v>
      </c>
      <c r="Q18" s="56" t="s">
        <v>197</v>
      </c>
    </row>
    <row r="19" customFormat="false" ht="15" hidden="false" customHeight="false" outlineLevel="0" collapsed="false">
      <c r="A19" s="49" t="s">
        <v>204</v>
      </c>
      <c r="B19" s="49" t="s">
        <v>195</v>
      </c>
      <c r="C19" s="49" t="s">
        <v>196</v>
      </c>
      <c r="D19" s="54" t="n">
        <v>0.5</v>
      </c>
      <c r="E19" s="54" t="n">
        <v>1</v>
      </c>
      <c r="F19" s="54" t="n">
        <v>2</v>
      </c>
      <c r="G19" s="54" t="n">
        <v>0.5</v>
      </c>
      <c r="H19" s="54" t="n">
        <v>1</v>
      </c>
      <c r="I19" s="54" t="n">
        <v>2</v>
      </c>
      <c r="J19" s="54" t="n">
        <v>1</v>
      </c>
      <c r="K19" s="54" t="n">
        <v>7.99</v>
      </c>
      <c r="L19" s="54" t="n">
        <v>6.99</v>
      </c>
      <c r="M19" s="54"/>
      <c r="N19" s="54" t="n">
        <v>0</v>
      </c>
      <c r="O19" s="54" t="n">
        <v>0</v>
      </c>
      <c r="P19" s="55" t="n">
        <v>0.05</v>
      </c>
      <c r="Q19" s="56" t="s">
        <v>197</v>
      </c>
    </row>
    <row r="20" customFormat="false" ht="15" hidden="false" customHeight="false" outlineLevel="0" collapsed="false">
      <c r="A20" s="49" t="s">
        <v>205</v>
      </c>
      <c r="B20" s="49" t="s">
        <v>195</v>
      </c>
      <c r="C20" s="49" t="s">
        <v>196</v>
      </c>
      <c r="D20" s="54" t="n">
        <v>0.5</v>
      </c>
      <c r="E20" s="54" t="n">
        <v>1</v>
      </c>
      <c r="F20" s="54" t="n">
        <v>2</v>
      </c>
      <c r="G20" s="54" t="n">
        <v>0.5</v>
      </c>
      <c r="H20" s="54" t="n">
        <v>1</v>
      </c>
      <c r="I20" s="54" t="n">
        <v>2</v>
      </c>
      <c r="J20" s="54" t="n">
        <v>1</v>
      </c>
      <c r="K20" s="54" t="n">
        <v>7.99</v>
      </c>
      <c r="L20" s="54" t="n">
        <v>6.99</v>
      </c>
      <c r="M20" s="54"/>
      <c r="N20" s="54" t="n">
        <v>0</v>
      </c>
      <c r="O20" s="54" t="n">
        <v>0</v>
      </c>
      <c r="P20" s="55" t="n">
        <v>0.05</v>
      </c>
      <c r="Q20" s="56" t="s">
        <v>197</v>
      </c>
    </row>
    <row r="21" customFormat="false" ht="15" hidden="false" customHeight="false" outlineLevel="0" collapsed="false">
      <c r="A21" s="49" t="s">
        <v>206</v>
      </c>
      <c r="B21" s="49" t="s">
        <v>195</v>
      </c>
      <c r="C21" s="49" t="s">
        <v>196</v>
      </c>
      <c r="D21" s="54" t="n">
        <v>0.5</v>
      </c>
      <c r="E21" s="54" t="n">
        <v>1</v>
      </c>
      <c r="F21" s="54" t="n">
        <v>2</v>
      </c>
      <c r="G21" s="54" t="n">
        <v>0.5</v>
      </c>
      <c r="H21" s="54" t="n">
        <v>1</v>
      </c>
      <c r="I21" s="54" t="n">
        <v>2</v>
      </c>
      <c r="J21" s="54" t="n">
        <v>1</v>
      </c>
      <c r="K21" s="54" t="n">
        <v>7.99</v>
      </c>
      <c r="L21" s="54" t="n">
        <v>6.99</v>
      </c>
      <c r="M21" s="54"/>
      <c r="N21" s="54" t="n">
        <v>0</v>
      </c>
      <c r="O21" s="54" t="n">
        <v>0</v>
      </c>
      <c r="P21" s="55" t="n">
        <v>0.05</v>
      </c>
      <c r="Q21" s="56" t="s">
        <v>197</v>
      </c>
    </row>
    <row r="22" customFormat="false" ht="15" hidden="false" customHeight="false" outlineLevel="0" collapsed="false">
      <c r="A22" s="49" t="s">
        <v>207</v>
      </c>
      <c r="B22" s="49" t="s">
        <v>208</v>
      </c>
      <c r="C22" s="49" t="s">
        <v>39</v>
      </c>
      <c r="D22" s="54" t="n">
        <v>0.25</v>
      </c>
      <c r="E22" s="54" t="n">
        <v>0.5</v>
      </c>
      <c r="F22" s="54" t="n">
        <v>1</v>
      </c>
      <c r="G22" s="54" t="n">
        <v>0.25</v>
      </c>
      <c r="H22" s="54" t="n">
        <v>0.5</v>
      </c>
      <c r="I22" s="54" t="n">
        <v>1</v>
      </c>
      <c r="J22" s="54" t="n">
        <v>1</v>
      </c>
      <c r="K22" s="54" t="n">
        <v>4.49</v>
      </c>
      <c r="L22" s="54" t="n">
        <v>4.49</v>
      </c>
      <c r="M22" s="54"/>
      <c r="N22" s="54" t="n">
        <v>0</v>
      </c>
      <c r="O22" s="54" t="n">
        <v>0</v>
      </c>
      <c r="P22" s="55" t="n">
        <v>0.05</v>
      </c>
      <c r="Q22" s="56" t="s">
        <v>209</v>
      </c>
    </row>
    <row r="23" customFormat="false" ht="15" hidden="false" customHeight="false" outlineLevel="0" collapsed="false">
      <c r="A23" s="49" t="s">
        <v>210</v>
      </c>
      <c r="B23" s="49" t="s">
        <v>208</v>
      </c>
      <c r="C23" s="49" t="s">
        <v>39</v>
      </c>
      <c r="D23" s="54" t="n">
        <v>0.25</v>
      </c>
      <c r="E23" s="54" t="n">
        <v>0.5</v>
      </c>
      <c r="F23" s="54" t="n">
        <v>1</v>
      </c>
      <c r="G23" s="54" t="n">
        <v>0.25</v>
      </c>
      <c r="H23" s="54" t="n">
        <v>0.5</v>
      </c>
      <c r="I23" s="54" t="n">
        <v>1</v>
      </c>
      <c r="J23" s="54" t="n">
        <v>1</v>
      </c>
      <c r="K23" s="54" t="n">
        <v>7.99</v>
      </c>
      <c r="L23" s="54" t="n">
        <v>7.99</v>
      </c>
      <c r="M23" s="54"/>
      <c r="N23" s="54" t="n">
        <v>0</v>
      </c>
      <c r="O23" s="54" t="n">
        <v>0</v>
      </c>
      <c r="P23" s="55" t="n">
        <v>0.05</v>
      </c>
      <c r="Q23" s="56" t="s">
        <v>209</v>
      </c>
    </row>
    <row r="25" customFormat="false" ht="15" hidden="false" customHeight="false" outlineLevel="0" collapsed="false">
      <c r="A25" s="38" t="s">
        <v>211</v>
      </c>
    </row>
    <row r="26" customFormat="false" ht="15" hidden="false" customHeight="false" outlineLevel="0" collapsed="false">
      <c r="A26" s="57" t="s">
        <v>77</v>
      </c>
      <c r="B26" s="57" t="s">
        <v>212</v>
      </c>
    </row>
    <row r="27" customFormat="false" ht="15" hidden="false" customHeight="false" outlineLevel="0" collapsed="false">
      <c r="A27" s="5" t="s">
        <v>39</v>
      </c>
      <c r="B27" s="58" t="n">
        <v>1</v>
      </c>
      <c r="C27" s="2" t="s">
        <v>213</v>
      </c>
    </row>
    <row r="28" customFormat="false" ht="15" hidden="false" customHeight="false" outlineLevel="0" collapsed="false">
      <c r="A28" s="5" t="s">
        <v>193</v>
      </c>
      <c r="B28" s="58" t="n">
        <v>9.2</v>
      </c>
    </row>
    <row r="29" customFormat="false" ht="15" hidden="false" customHeight="false" outlineLevel="0" collapsed="false">
      <c r="A29" s="5" t="s">
        <v>196</v>
      </c>
      <c r="B29" s="58" t="n">
        <v>0.87</v>
      </c>
    </row>
    <row r="31" customFormat="false" ht="15" hidden="false" customHeight="false" outlineLevel="0" collapsed="false">
      <c r="A31" s="38" t="s">
        <v>214</v>
      </c>
    </row>
    <row r="32" customFormat="false" ht="15" hidden="false" customHeight="false" outlineLevel="0" collapsed="false">
      <c r="A32" s="5" t="s">
        <v>215</v>
      </c>
    </row>
    <row r="33" customFormat="false" ht="15" hidden="false" customHeight="false" outlineLevel="0" collapsed="false">
      <c r="A33" s="5" t="s">
        <v>216</v>
      </c>
    </row>
    <row r="34" customFormat="false" ht="15" hidden="false" customHeight="false" outlineLevel="0" collapsed="false">
      <c r="A34" s="5" t="s">
        <v>217</v>
      </c>
    </row>
    <row r="35" customFormat="false" ht="15" hidden="false" customHeight="false" outlineLevel="0" collapsed="false">
      <c r="A35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2026-10-04T18:26:46Z</dcterms:created>
  <dc:creator>openpyxl</dc:creator>
  <dc:description/>
  <dc:language>en-US</dc:language>
  <cp:lastModifiedBy/>
  <dcterms:modified xsi:type="dcterms:W3CDTF">2026-10-04T18:26:46Z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
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Compare Products" sheetId="2" state="visible" r:id="rId4"/>
    <sheet name="COD Network Fe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<sst xmlns="http://schemas.openxmlformats.org/spreadsheetml/2006/main" count="315" uniqueCount="236">
  <si>
    <t xml:space="preserve">COD Profit Calculator - COD Network</t>
  </si>
  <si>
    <t xml:space="preserve">YELLOW = type your numbers here</t>
  </si>
  <si>
    <t xml:space="preserve">RED = key costs</t>
  </si>
  <si>
    <t xml:space="preserve">GREEN = revenue &amp; profit</t>
  </si>
  <si>
    <t xml:space="preserve">BLUE = break-even</t>
  </si>
  <si>
    <t xml:space="preserve">No color = calculated automatically (don't type there). Fees come from the 'COD Network Fees' tab.</t>
  </si>
  <si>
    <t xml:space="preserve">1. INPUTS</t>
  </si>
  <si>
    <t xml:space="preserve">2. OFFERS - price, delivery fee and share of orders for each offer</t>
  </si>
  <si>
    <t xml:space="preserve">Market (country)</t>
  </si>
  <si>
    <t xml:space="preserve">Morocco</t>
  </si>
  <si>
    <t xml:space="preserve">Pick from the list</t>
  </si>
  <si>
    <t xml:space="preserve">Enter the product price, the delivery fee you charge the customer, and the % of orders that choose each offer. Free units are counted as product cost. Profit columns = "if every order took this offer".</t>
  </si>
  <si>
    <t xml:space="preserve">Helper per offer (do not edit)</t>
  </si>
  <si>
    <t xml:space="preserve">Product category</t>
  </si>
  <si>
    <t xml:space="preserve">Gadget</t>
  </si>
  <si>
    <t xml:space="preserve">Gadget or Cosmetic (changes call-center fees in GCC)</t>
  </si>
  <si>
    <t xml:space="preserve">Offer</t>
  </si>
  <si>
    <t xml:space="preserve">Paid units</t>
  </si>
  <si>
    <t xml:space="preserve">Free units</t>
  </si>
  <si>
    <t xml:space="preserve">Units per order</t>
  </si>
  <si>
    <t xml:space="preserve">Product price</t>
  </si>
  <si>
    <t xml:space="preserve">Delivery fee charged to customer</t>
  </si>
  <si>
    <t xml:space="preserve">Customer pays (price + delivery)</t>
  </si>
  <si>
    <t xml:space="preserve">% of orders</t>
  </si>
  <si>
    <t xml:space="preserve">Product cost per order</t>
  </si>
  <si>
    <t xml:space="preserve">Net profit per delivered order</t>
  </si>
  <si>
    <t xml:space="preserve">Net profit (if all orders)</t>
  </si>
  <si>
    <t xml:space="preserve">Break-even cost per lead</t>
  </si>
  <si>
    <t xml:space="preserve">Net profit per unit delivered</t>
  </si>
  <si>
    <t xml:space="preserve">Overweight / order</t>
  </si>
  <si>
    <t xml:space="preserve">alpha</t>
  </si>
  <si>
    <t xml:space="preserve">beta</t>
  </si>
  <si>
    <t xml:space="preserve">gamma</t>
  </si>
  <si>
    <t xml:space="preserve">Use COD Network call center?</t>
  </si>
  <si>
    <t xml:space="preserve">Yes</t>
  </si>
  <si>
    <t xml:space="preserve">No = you confirm orders yourself (no call-center fees)</t>
  </si>
  <si>
    <t xml:space="preserve">Buy 1</t>
  </si>
  <si>
    <t xml:space="preserve">Average order value (price + delivery fee)</t>
  </si>
  <si>
    <t xml:space="preserve">Calculated from the OFFERS table on the right (what the customer pays x mix)</t>
  </si>
  <si>
    <t xml:space="preserve">Buy 1 Get 1 Free</t>
  </si>
  <si>
    <t xml:space="preserve">Product cost (landed, per unit)</t>
  </si>
  <si>
    <t xml:space="preserve">Buy 2 Get 1 Free</t>
  </si>
  <si>
    <t xml:space="preserve">Cost per result (cost per lead)</t>
  </si>
  <si>
    <t xml:space="preserve">From your ads manager</t>
  </si>
  <si>
    <t xml:space="preserve">Your mix (weighted)</t>
  </si>
  <si>
    <t xml:space="preserve">Cost per result is in</t>
  </si>
  <si>
    <t xml:space="preserve">USD</t>
  </si>
  <si>
    <t xml:space="preserve">USD or Market currency</t>
  </si>
  <si>
    <t xml:space="preserve">Number of leads</t>
  </si>
  <si>
    <t xml:space="preserve">Leads / orders received in the period</t>
  </si>
  <si>
    <t xml:space="preserve">Helper: per-lead model (do not edit)</t>
  </si>
  <si>
    <t xml:space="preserve">Confirmation rate</t>
  </si>
  <si>
    <t xml:space="preserve">% of leads confirmed by the call center</t>
  </si>
  <si>
    <t xml:space="preserve">Cash per delivered (incl. upsell)</t>
  </si>
  <si>
    <t xml:space="preserve">Return rate</t>
  </si>
  <si>
    <t xml:space="preserve">% of confirmed orders refused / not delivered</t>
  </si>
  <si>
    <t xml:space="preserve">7. NET PROFIT SENSITIVITY: cost per lead (rows) x return rate (columns)</t>
  </si>
  <si>
    <t xml:space="preserve">alpha (per delivered)</t>
  </si>
  <si>
    <t xml:space="preserve">Upsell rate</t>
  </si>
  <si>
    <t xml:space="preserve">% of delivered orders that took an upsell / cross-sell</t>
  </si>
  <si>
    <t xml:space="preserve">beta (per returned)</t>
  </si>
  <si>
    <t xml:space="preserve">Upsell extra revenue per upsell</t>
  </si>
  <si>
    <t xml:space="preserve">Extra price collected per upsell order</t>
  </si>
  <si>
    <t xml:space="preserve">CPL \ Return</t>
  </si>
  <si>
    <t xml:space="preserve">gamma (product cost per delivered)</t>
  </si>
  <si>
    <t xml:space="preserve">Upsell extra product cost per upsell</t>
  </si>
  <si>
    <t xml:space="preserve">Extra unit cost per upsell order</t>
  </si>
  <si>
    <t xml:space="preserve">Lead fee</t>
  </si>
  <si>
    <t xml:space="preserve">Weight per unit (kg)</t>
  </si>
  <si>
    <t xml:space="preserve">Higher of real or volumetric (LxHxW/5000); order weight = units x this</t>
  </si>
  <si>
    <t xml:space="preserve">Fixed per lead</t>
  </si>
  <si>
    <t xml:space="preserve">Payment processing fee (on payout)</t>
  </si>
  <si>
    <t xml:space="preserve">Contract: 0% to 5% by method (PayPal, bank, Payoneer)</t>
  </si>
  <si>
    <t xml:space="preserve">Intercept (r=0, total)</t>
  </si>
  <si>
    <t xml:space="preserve">Other fixed costs (period)</t>
  </si>
  <si>
    <t xml:space="preserve">Shopify, apps, creatives, salaries, customs... in market currency</t>
  </si>
  <si>
    <t xml:space="preserve">Slope per unit return rate</t>
  </si>
  <si>
    <t xml:space="preserve">Check: model - P&amp;L (should be 0)</t>
  </si>
  <si>
    <t xml:space="preserve">3. FEES APPLIED (pulled automatically from your contract)</t>
  </si>
  <si>
    <t xml:space="preserve">Check: offer mix - P&amp;L (should be 0)</t>
  </si>
  <si>
    <t xml:space="preserve">Fee table row (helper)</t>
  </si>
  <si>
    <t xml:space="preserve">Position of the market in the fee table</t>
  </si>
  <si>
    <t xml:space="preserve">Region</t>
  </si>
  <si>
    <t xml:space="preserve">Rows = 0.5x to 2.5x your current cost per lead. Yellow return rates can be changed. Red = loss, green = profit.</t>
  </si>
  <si>
    <t xml:space="preserve">Currency</t>
  </si>
  <si>
    <t xml:space="preserve">All amounts below are in this currency</t>
  </si>
  <si>
    <t xml:space="preserve">Call center - fee per lead</t>
  </si>
  <si>
    <t xml:space="preserve">Call center - fee per confirmed order</t>
  </si>
  <si>
    <t xml:space="preserve">Call center - fee per delivered order</t>
  </si>
  <si>
    <t xml:space="preserve">Call center - fee per upsell</t>
  </si>
  <si>
    <t xml:space="preserve">Shipping per delivered order</t>
  </si>
  <si>
    <t xml:space="preserve">Without call center the flat GCC rate is used</t>
  </si>
  <si>
    <t xml:space="preserve">Shipping per returned order</t>
  </si>
  <si>
    <t xml:space="preserve">Fulfillment per shipped order</t>
  </si>
  <si>
    <t xml:space="preserve">Charged on every shipped (confirmed) order</t>
  </si>
  <si>
    <t xml:space="preserve">Overweight surcharge per shipped order (avg)</t>
  </si>
  <si>
    <t xml:space="preserve">Contract: +1 per kg above 5 kg (local shipping), weighted by offer mix</t>
  </si>
  <si>
    <t xml:space="preserve">COD fee (% of cash collected)</t>
  </si>
  <si>
    <t xml:space="preserve">Exchange rate (units per 1 USD)</t>
  </si>
  <si>
    <t xml:space="preserve">Edit on the fees tab</t>
  </si>
  <si>
    <t xml:space="preserve">Cost per lead in market currency</t>
  </si>
  <si>
    <t xml:space="preserve">4. ORDER FUNNEL</t>
  </si>
  <si>
    <t xml:space="preserve">Leads</t>
  </si>
  <si>
    <t xml:space="preserve">Confirmed (shipped) orders</t>
  </si>
  <si>
    <t xml:space="preserve">Delivered orders</t>
  </si>
  <si>
    <t xml:space="preserve">Returned orders</t>
  </si>
  <si>
    <t xml:space="preserve">Upsell orders</t>
  </si>
  <si>
    <t xml:space="preserve">Delivery rate (delivered / leads)</t>
  </si>
  <si>
    <t xml:space="preserve">Your real 'lead to cash' rate</t>
  </si>
  <si>
    <t xml:space="preserve">5. PROFIT &amp; LOSS</t>
  </si>
  <si>
    <t xml:space="preserve">Order revenue (price + delivery fee)</t>
  </si>
  <si>
    <t xml:space="preserve">Upsell revenue</t>
  </si>
  <si>
    <t xml:space="preserve">Total cash collected (revenue)</t>
  </si>
  <si>
    <t xml:space="preserve">Call center fees</t>
  </si>
  <si>
    <t xml:space="preserve">Lead + confirmation + delivery + upsell fees</t>
  </si>
  <si>
    <t xml:space="preserve">Shipping - delivered orders</t>
  </si>
  <si>
    <t xml:space="preserve">Shipping - returned orders</t>
  </si>
  <si>
    <t xml:space="preserve">Fulfillment</t>
  </si>
  <si>
    <t xml:space="preserve">Overweight surcharge</t>
  </si>
  <si>
    <t xml:space="preserve">COD fee</t>
  </si>
  <si>
    <t xml:space="preserve">Total COD Network fees</t>
  </si>
  <si>
    <t xml:space="preserve">Payout from COD Network</t>
  </si>
  <si>
    <t xml:space="preserve">What COD Network transfers to you</t>
  </si>
  <si>
    <t xml:space="preserve">Payment processing fee</t>
  </si>
  <si>
    <t xml:space="preserve">Ad spend</t>
  </si>
  <si>
    <t xml:space="preserve">Leads x cost per lead</t>
  </si>
  <si>
    <t xml:space="preserve">Product cost (delivered units)</t>
  </si>
  <si>
    <t xml:space="preserve">Delivered orders x avg units (incl. free) x unit cost; returns go back to stock</t>
  </si>
  <si>
    <t xml:space="preserve">Other fixed costs</t>
  </si>
  <si>
    <t xml:space="preserve">Total costs</t>
  </si>
  <si>
    <t xml:space="preserve">NET PROFIT</t>
  </si>
  <si>
    <t xml:space="preserve">6. KEY NUMBERS</t>
  </si>
  <si>
    <t xml:space="preserve">Counts free units too (units = delivered orders x avg units)</t>
  </si>
  <si>
    <t xml:space="preserve">Net margin (profit / revenue)</t>
  </si>
  <si>
    <t xml:space="preserve">ROI (profit / (ads + product cost))</t>
  </si>
  <si>
    <t xml:space="preserve">ROAS (revenue / ad spend)</t>
  </si>
  <si>
    <t xml:space="preserve">Ad cost per delivered order (real CPA)</t>
  </si>
  <si>
    <t xml:space="preserve">Total cost per delivered order</t>
  </si>
  <si>
    <t xml:space="preserve">All costs except the product itself</t>
  </si>
  <si>
    <t xml:space="preserve">Break-even average order value</t>
  </si>
  <si>
    <t xml:space="preserve">Break-even return rate</t>
  </si>
  <si>
    <t xml:space="preserve">Highest return rate before you lose money</t>
  </si>
  <si>
    <t xml:space="preserve">Compare products / markets side by side</t>
  </si>
  <si>
    <t xml:space="preserve">One product per row. Offer units (1 / 1+1 free / 2+1 free) and the payment processing fee come from the Calculator. Upsells, overweight surcharge and fixed costs are not included here - use the Calculator for those.</t>
  </si>
  <si>
    <t xml:space="preserve">YELLOW = type here</t>
  </si>
  <si>
    <t xml:space="preserve">RED = costs</t>
  </si>
  <si>
    <t xml:space="preserve">GREEN = profit</t>
  </si>
  <si>
    <t xml:space="preserve">Product</t>
  </si>
  <si>
    <t xml:space="preserve">Market</t>
  </si>
  <si>
    <t xml:space="preserve">Category</t>
  </si>
  <si>
    <t xml:space="preserve">Call center?</t>
  </si>
  <si>
    <t xml:space="preserve">Price: Buy 1</t>
  </si>
  <si>
    <t xml:space="preserve">Price: Buy 1 Get 1 Free</t>
  </si>
  <si>
    <t xml:space="preserve">Price: Buy 2 Get 1 Free</t>
  </si>
  <si>
    <t xml:space="preserve">Delivery fee: Buy 1</t>
  </si>
  <si>
    <t xml:space="preserve">Delivery fee: Buy 1 Get 1 Free</t>
  </si>
  <si>
    <t xml:space="preserve">Delivery fee: Buy 2 Get 1 Free</t>
  </si>
  <si>
    <t xml:space="preserve">% Buy 1</t>
  </si>
  <si>
    <t xml:space="preserve">% Buy 1 Get 1 Free</t>
  </si>
  <si>
    <t xml:space="preserve">% Buy 2 Get 1 Free</t>
  </si>
  <si>
    <t xml:space="preserve">Product cost per unit</t>
  </si>
  <si>
    <t xml:space="preserve">Cost per lead</t>
  </si>
  <si>
    <t xml:space="preserve">CPL currency</t>
  </si>
  <si>
    <t xml:space="preserve">Avg order value (incl. delivery fee)</t>
  </si>
  <si>
    <t xml:space="preserve">Avg units per order</t>
  </si>
  <si>
    <t xml:space="preserve">Confirmed</t>
  </si>
  <si>
    <t xml:space="preserve">Delivered</t>
  </si>
  <si>
    <t xml:space="preserve">Revenue</t>
  </si>
  <si>
    <t xml:space="preserve">Product cost total</t>
  </si>
  <si>
    <t xml:space="preserve">Shipping</t>
  </si>
  <si>
    <t xml:space="preserve">Payment fee</t>
  </si>
  <si>
    <t xml:space="preserve">Profit / delivered</t>
  </si>
  <si>
    <t xml:space="preserve">Margin</t>
  </si>
  <si>
    <t xml:space="preserve">ROI</t>
  </si>
  <si>
    <t xml:space="preserve">Break-even CPL</t>
  </si>
  <si>
    <t xml:space="preserve">Profit / unit delivered</t>
  </si>
  <si>
    <t xml:space="preserve">Fee row</t>
  </si>
  <si>
    <t xml:space="preserve">Example: posture corrector</t>
  </si>
  <si>
    <t xml:space="preserve">Example: serum</t>
  </si>
  <si>
    <t xml:space="preserve">KSA</t>
  </si>
  <si>
    <t xml:space="preserve">Cosmetic</t>
  </si>
  <si>
    <t xml:space="preserve">Example: gummies</t>
  </si>
  <si>
    <t xml:space="preserve">Spain</t>
  </si>
  <si>
    <t xml:space="preserve">Market currency</t>
  </si>
  <si>
    <t xml:space="preserve">All money columns are in each row's market currency (Currency column). Break-even CPL is in the row's CPL currency. Delivery fees are paid by customers on delivered orders only. If the offer % don't add up to 100%, they are scaled to 100%.</t>
  </si>
  <si>
    <t xml:space="preserve">COD Network fee schedule (from your agreement)</t>
  </si>
  <si>
    <t xml:space="preserve">Source: COD Network DWC LLC agreement (PDF you provided). Blue = values copied from the contract. Edit any cell if your rates change - every calculation updates automatically.</t>
  </si>
  <si>
    <t xml:space="preserve">YELLOW = update</t>
  </si>
  <si>
    <t xml:space="preserve">  Contract rates (no color) - edit only if COD Network changes your prices.</t>
  </si>
  <si>
    <t xml:space="preserve">Lead fee
(Gadget)</t>
  </si>
  <si>
    <t xml:space="preserve">Confirmed fee
(Gadget)</t>
  </si>
  <si>
    <t xml:space="preserve">Delivered fee
(Gadget)</t>
  </si>
  <si>
    <t xml:space="preserve">Lead fee
(Cosmetic)</t>
  </si>
  <si>
    <t xml:space="preserve">Confirmed fee
(Cosmetic)</t>
  </si>
  <si>
    <t xml:space="preserve">Delivered fee
(Cosmetic)</t>
  </si>
  <si>
    <t xml:space="preserve">Upsell / cross-sell
fee</t>
  </si>
  <si>
    <t xml:space="preserve">Shipping delivered
(with call center)</t>
  </si>
  <si>
    <t xml:space="preserve">Shipping returned
(with call center)</t>
  </si>
  <si>
    <t xml:space="preserve">Shipping flat
(without call center)</t>
  </si>
  <si>
    <t xml:space="preserve">Fulfillment
per shipped order</t>
  </si>
  <si>
    <t xml:space="preserve">Extra per kg
over 5 kg</t>
  </si>
  <si>
    <t xml:space="preserve">COD fee
(% of collected)</t>
  </si>
  <si>
    <t xml:space="preserve">Notes</t>
  </si>
  <si>
    <t xml:space="preserve">UAE</t>
  </si>
  <si>
    <t xml:space="preserve">GCC</t>
  </si>
  <si>
    <t xml:space="preserve">VAT included</t>
  </si>
  <si>
    <t xml:space="preserve">Bahrain</t>
  </si>
  <si>
    <t xml:space="preserve">Oman</t>
  </si>
  <si>
    <t xml:space="preserve">Kuwait</t>
  </si>
  <si>
    <t xml:space="preserve">Qatar</t>
  </si>
  <si>
    <t xml:space="preserve">MAD</t>
  </si>
  <si>
    <t xml:space="preserve">No COD fee column in the Morocco table - set to 0%. Confirm with COD Network.</t>
  </si>
  <si>
    <t xml:space="preserve">Europe</t>
  </si>
  <si>
    <t xml:space="preserve">EUR</t>
  </si>
  <si>
    <t xml:space="preserve">VAT 0%. Upsell fee not listed for Europe - assumed same as general clause (1).</t>
  </si>
  <si>
    <t xml:space="preserve">Portugal</t>
  </si>
  <si>
    <t xml:space="preserve">Poland</t>
  </si>
  <si>
    <t xml:space="preserve">Czech Republic</t>
  </si>
  <si>
    <t xml:space="preserve">Hungary</t>
  </si>
  <si>
    <t xml:space="preserve">Slovakia</t>
  </si>
  <si>
    <t xml:space="preserve">Romania</t>
  </si>
  <si>
    <t xml:space="preserve">Lithuania</t>
  </si>
  <si>
    <t xml:space="preserve">Slovenia</t>
  </si>
  <si>
    <t xml:space="preserve">Croatia</t>
  </si>
  <si>
    <t xml:space="preserve">Colombia</t>
  </si>
  <si>
    <t xml:space="preserve">LATAM</t>
  </si>
  <si>
    <t xml:space="preserve">VAT 0%. Upsell fee not listed for LATAM - assumed same as general clause ($1).</t>
  </si>
  <si>
    <t xml:space="preserve">Panama</t>
  </si>
  <si>
    <t xml:space="preserve">Exchange rates (edit to today's rate)</t>
  </si>
  <si>
    <t xml:space="preserve">Units per 1 USD</t>
  </si>
  <si>
    <t xml:space="preserve">Approximate rates - update them before using. Only used when your cost per result is in USD.</t>
  </si>
  <si>
    <t xml:space="preserve">Contract terms that are NOT modelled per order (add them under 'Other fixed costs' on the Calculator if they apply):</t>
  </si>
  <si>
    <t xml:space="preserve">- Payment processing on remittances: 0% to 5% depending on method (PayPal, bank transfer, Payoneer) -&gt; input on Calculator.</t>
  </si>
  <si>
    <t xml:space="preserve">- International (cross-border) shipping, customs clearance (+$9 Kuwait), import duties and government taxes.</t>
  </si>
  <si>
    <t xml:space="preserve">- Storage and labeling are free in all listed markets; GCC fulfillment is free; Morocco fulfillment is 8 MAD per order.</t>
  </si>
  <si>
    <t xml:space="preserve">- Volumetric weight: L x H x W / 5000. Use the higher of real and volumetric weight in 'Package weight'.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</si>
</sst>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.00;\(#,##0.00\);\-"/>
    <numFmt numFmtId="167" formatCode="#,##0.00"/>
    <numFmt numFmtId="168" formatCode="0.0%;\(0.0%\);\-"/>
    <numFmt numFmtId="169" formatCode="#,##0;\(#,##0\);\-"/>
    <numFmt numFmtId="170" formatCode="0.00"/>
    <numFmt numFmtId="171" formatCode="0%"/>
    <numFmt numFmtId="172" formatCode="0.0"/>
    <numFmt numFmtId="173" formatCode="0.00\x"/>
    <numFmt numFmtId="17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06100"/>
      <name val="Arial"/>
      <family val="0"/>
      <charset val="1"/>
    </font>
    <font>
      <b val="true"/>
      <sz val="14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99CC"/>
      </patternFill>
    </fill>
    <fill>
      <patternFill patternType="solid">
        <fgColor rgb="FFC6EFCE"/>
        <bgColor rgb="FFCCFFFF"/>
      </patternFill>
    </fill>
    <fill>
      <patternFill patternType="solid">
        <fgColor rgb="FFBDD7EE"/>
        <bgColor rgb="FFC6EFCE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9C0006"/>
      </patternFill>
    </fill>
    <fill>
      <patternFill patternType="solid">
        <fgColor rgb="FF2F5597"/>
        <bgColor rgb="FF1F4E7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9C0006"/>
        <sz val="13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2F5597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3"/>
    <col collapsed="false" customWidth="true" hidden="false" outlineLevel="0" max="5" min="5" style="0" width="20"/>
    <col collapsed="false" customWidth="true" hidden="false" outlineLevel="0" max="17" min="6" style="0" width="13"/>
    <col collapsed="false" customWidth="true" hidden="false" outlineLevel="0" max="18" min="18" style="0" width="3"/>
    <col collapsed="false" customWidth="true" hidden="false" outlineLevel="0" max="19" min="19" style="0" width="32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9.5" hidden="false" customHeight="true" outlineLevel="0" collapsed="false">
      <c r="A2" s="2" t="s">
        <v>1</v>
      </c>
      <c r="B2" s="3" t="s">
        <v>2</v>
      </c>
      <c r="C2" s="4" t="s">
        <v>3</v>
      </c>
      <c r="E2" s="5" t="s">
        <v>4</v>
      </c>
      <c r="F2" s="5"/>
    </row>
    <row r="3" customFormat="false" ht="15" hidden="false" customHeight="false" outlineLevel="0" collapsed="false">
      <c r="A3" s="6" t="s">
        <v>5</v>
      </c>
    </row>
    <row r="4" customFormat="false" ht="15" hidden="false" customHeight="false" outlineLevel="0" collapsed="false">
      <c r="A4" s="7" t="s">
        <v>6</v>
      </c>
      <c r="B4" s="7"/>
      <c r="C4" s="7"/>
      <c r="E4" s="7" t="s">
        <v>7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customFormat="false" ht="15" hidden="false" customHeight="false" outlineLevel="0" collapsed="false">
      <c r="A5" s="8" t="s">
        <v>8</v>
      </c>
      <c r="B5" s="9" t="s">
        <v>9</v>
      </c>
      <c r="C5" s="6" t="s">
        <v>10</v>
      </c>
      <c r="E5" s="6" t="s">
        <v>11</v>
      </c>
      <c r="S5" s="6" t="s">
        <v>12</v>
      </c>
    </row>
    <row r="6" customFormat="false" ht="45" hidden="false" customHeight="true" outlineLevel="0" collapsed="false">
      <c r="A6" s="8" t="s">
        <v>13</v>
      </c>
      <c r="B6" s="9" t="s">
        <v>14</v>
      </c>
      <c r="C6" s="6" t="s">
        <v>15</v>
      </c>
      <c r="E6" s="10" t="s">
        <v>16</v>
      </c>
      <c r="F6" s="10" t="s">
        <v>17</v>
      </c>
      <c r="G6" s="10" t="s">
        <v>18</v>
      </c>
      <c r="H6" s="11" t="s">
        <v>19</v>
      </c>
      <c r="I6" s="10" t="s">
        <v>20</v>
      </c>
      <c r="J6" s="10" t="s">
        <v>21</v>
      </c>
      <c r="K6" s="12" t="s">
        <v>22</v>
      </c>
      <c r="L6" s="10" t="s">
        <v>23</v>
      </c>
      <c r="M6" s="13" t="s">
        <v>24</v>
      </c>
      <c r="N6" s="12" t="s">
        <v>25</v>
      </c>
      <c r="O6" s="12" t="s">
        <v>26</v>
      </c>
      <c r="P6" s="14" t="s">
        <v>27</v>
      </c>
      <c r="Q6" s="12" t="s">
        <v>28</v>
      </c>
      <c r="S6" s="6" t="s">
        <v>29</v>
      </c>
      <c r="T6" s="6" t="s">
        <v>30</v>
      </c>
      <c r="U6" s="6" t="s">
        <v>31</v>
      </c>
      <c r="V6" s="6" t="s">
        <v>32</v>
      </c>
    </row>
    <row r="7" customFormat="false" ht="15" hidden="false" customHeight="false" outlineLevel="0" collapsed="false">
      <c r="A7" s="8" t="s">
        <v>33</v>
      </c>
      <c r="B7" s="9" t="s">
        <v>34</v>
      </c>
      <c r="C7" s="6" t="s">
        <v>35</v>
      </c>
      <c r="E7" s="15" t="s">
        <v>36</v>
      </c>
      <c r="F7" s="16" t="n">
        <v>1</v>
      </c>
      <c r="G7" s="16" t="n">
        <v>0</v>
      </c>
      <c r="H7" s="17" t="n">
        <f aca="false">F7+G7</f>
        <v>1</v>
      </c>
      <c r="I7" s="18" t="n">
        <v>249</v>
      </c>
      <c r="J7" s="19" t="n">
        <v>30</v>
      </c>
      <c r="K7" s="20" t="n">
        <f aca="false">I7+J7</f>
        <v>279</v>
      </c>
      <c r="L7" s="21" t="n">
        <v>0.5</v>
      </c>
      <c r="M7" s="22" t="n">
        <f aca="false">H7*$B$9</f>
        <v>40</v>
      </c>
      <c r="N7" s="20" t="n">
        <f aca="false">IF($B$41=0,0,O7/$B$41)</f>
        <v>117.213333333333</v>
      </c>
      <c r="O7" s="23" t="n">
        <f aca="false">$B$12*((1-$B$19)*(-$B$26+$B$13*(1-$B$14)*T7+$B$13*$B$14*U7)-$B$13*(1-$B$14)*V7-$B$36)-$B$20</f>
        <v>45713.2</v>
      </c>
      <c r="P7" s="24" t="n">
        <f aca="false">IF($B$12=0,0,(O7+$B$59)/$B$12/IF($B$11="USD",$B$35,1))</f>
        <v>6.96882608695652</v>
      </c>
      <c r="Q7" s="20" t="n">
        <f aca="false">IF(H7=0,0,N7/H7)</f>
        <v>117.213333333333</v>
      </c>
      <c r="S7" s="25" t="n">
        <f aca="false">MAX(0,H7*$B$18-5)*INDEX('COD Network Fees'!$O$5:$O$23,$B$23)</f>
        <v>0</v>
      </c>
      <c r="T7" s="25" t="n">
        <f aca="false">(K7+$B$15*$B$16)*(1-$B$34)-$B$27-$B$28-$B$15*$B$29-$B$30-$B$32-S7</f>
        <v>225</v>
      </c>
      <c r="U7" s="25" t="n">
        <f aca="false">-($B$27+$B$31+$B$32+S7)</f>
        <v>-21</v>
      </c>
      <c r="V7" s="25" t="n">
        <f aca="false">H7*$B$9+$B$15*$B$17</f>
        <v>40</v>
      </c>
    </row>
    <row r="8" customFormat="false" ht="15" hidden="false" customHeight="false" outlineLevel="0" collapsed="false">
      <c r="A8" s="26" t="s">
        <v>37</v>
      </c>
      <c r="B8" s="27" t="n">
        <f aca="false">IF(SUM($L$7:$L$9)=0,0,SUMPRODUCT($K$7:$K$9,$L$7:$L$9)/SUM($L$7:$L$9))</f>
        <v>334</v>
      </c>
      <c r="C8" s="6" t="s">
        <v>38</v>
      </c>
      <c r="E8" s="15" t="s">
        <v>39</v>
      </c>
      <c r="F8" s="16" t="n">
        <v>1</v>
      </c>
      <c r="G8" s="16" t="n">
        <v>1</v>
      </c>
      <c r="H8" s="17" t="n">
        <f aca="false">F8+G8</f>
        <v>2</v>
      </c>
      <c r="I8" s="18" t="n">
        <v>349</v>
      </c>
      <c r="J8" s="19" t="n">
        <v>0</v>
      </c>
      <c r="K8" s="20" t="n">
        <f aca="false">I8+J8</f>
        <v>349</v>
      </c>
      <c r="L8" s="21" t="n">
        <v>0.3</v>
      </c>
      <c r="M8" s="22" t="n">
        <f aca="false">H8*$B$9</f>
        <v>80</v>
      </c>
      <c r="N8" s="20" t="n">
        <f aca="false">IF($B$41=0,0,O8/$B$41)</f>
        <v>145.813333333333</v>
      </c>
      <c r="O8" s="23" t="n">
        <f aca="false">$B$12*((1-$B$19)*(-$B$26+$B$13*(1-$B$14)*T8+$B$13*$B$14*U8)-$B$13*(1-$B$14)*V8-$B$36)-$B$20</f>
        <v>56867.2</v>
      </c>
      <c r="P8" s="24" t="n">
        <f aca="false">IF($B$12=0,0,(O8+$B$59)/$B$12/IF($B$11="USD",$B$35,1))</f>
        <v>8.18121739130435</v>
      </c>
      <c r="Q8" s="20" t="n">
        <f aca="false">IF(H8=0,0,N8/H8)</f>
        <v>72.9066666666667</v>
      </c>
      <c r="S8" s="25" t="n">
        <f aca="false">MAX(0,H8*$B$18-5)*INDEX('COD Network Fees'!$O$5:$O$23,$B$23)</f>
        <v>0</v>
      </c>
      <c r="T8" s="25" t="n">
        <f aca="false">(K8+$B$15*$B$16)*(1-$B$34)-$B$27-$B$28-$B$15*$B$29-$B$30-$B$32-S8</f>
        <v>295</v>
      </c>
      <c r="U8" s="25" t="n">
        <f aca="false">-($B$27+$B$31+$B$32+S8)</f>
        <v>-21</v>
      </c>
      <c r="V8" s="25" t="n">
        <f aca="false">H8*$B$9+$B$15*$B$17</f>
        <v>80</v>
      </c>
    </row>
    <row r="9" customFormat="false" ht="15" hidden="false" customHeight="false" outlineLevel="0" collapsed="false">
      <c r="A9" s="8" t="s">
        <v>40</v>
      </c>
      <c r="B9" s="28" t="n">
        <v>40</v>
      </c>
      <c r="C9" s="6" t="str">
        <f aca="false">"Purchase + import cost per unit, in "&amp;B25&amp;" (free units count too)"</f>
        <v>Purchase + import cost per unit, in MAD (free units count too)</v>
      </c>
      <c r="E9" s="15" t="s">
        <v>41</v>
      </c>
      <c r="F9" s="16" t="n">
        <v>2</v>
      </c>
      <c r="G9" s="16" t="n">
        <v>1</v>
      </c>
      <c r="H9" s="17" t="n">
        <f aca="false">F9+G9</f>
        <v>3</v>
      </c>
      <c r="I9" s="18" t="n">
        <v>449</v>
      </c>
      <c r="J9" s="19" t="n">
        <v>0</v>
      </c>
      <c r="K9" s="20" t="n">
        <f aca="false">I9+J9</f>
        <v>449</v>
      </c>
      <c r="L9" s="21" t="n">
        <v>0.2</v>
      </c>
      <c r="M9" s="22" t="n">
        <f aca="false">H9*$B$9</f>
        <v>120</v>
      </c>
      <c r="N9" s="20" t="n">
        <f aca="false">IF($B$41=0,0,O9/$B$41)</f>
        <v>203.813333333333</v>
      </c>
      <c r="O9" s="23" t="n">
        <f aca="false">$B$12*((1-$B$19)*(-$B$26+$B$13*(1-$B$14)*T9+$B$13*$B$14*U9)-$B$13*(1-$B$14)*V9-$B$36)-$B$20</f>
        <v>79487.2</v>
      </c>
      <c r="P9" s="24" t="n">
        <f aca="false">IF($B$12=0,0,(O9+$B$59)/$B$12/IF($B$11="USD",$B$35,1))</f>
        <v>10.6399130434783</v>
      </c>
      <c r="Q9" s="20" t="n">
        <f aca="false">IF(H9=0,0,N9/H9)</f>
        <v>67.9377777777778</v>
      </c>
      <c r="S9" s="25" t="n">
        <f aca="false">MAX(0,H9*$B$18-5)*INDEX('COD Network Fees'!$O$5:$O$23,$B$23)</f>
        <v>0</v>
      </c>
      <c r="T9" s="25" t="n">
        <f aca="false">(K9+$B$15*$B$16)*(1-$B$34)-$B$27-$B$28-$B$15*$B$29-$B$30-$B$32-S9</f>
        <v>395</v>
      </c>
      <c r="U9" s="25" t="n">
        <f aca="false">-($B$27+$B$31+$B$32+S9)</f>
        <v>-21</v>
      </c>
      <c r="V9" s="25" t="n">
        <f aca="false">H9*$B$9+$B$15*$B$17</f>
        <v>120</v>
      </c>
    </row>
    <row r="10" customFormat="false" ht="15" hidden="false" customHeight="false" outlineLevel="0" collapsed="false">
      <c r="A10" s="8" t="s">
        <v>42</v>
      </c>
      <c r="B10" s="28" t="n">
        <v>2</v>
      </c>
      <c r="C10" s="6" t="s">
        <v>43</v>
      </c>
      <c r="E10" s="29" t="s">
        <v>44</v>
      </c>
      <c r="F10" s="29"/>
      <c r="G10" s="29"/>
      <c r="H10" s="30" t="n">
        <f aca="false">IF(SUM($L$7:$L$9)=0,0,SUMPRODUCT(H7:H9,$L$7:$L$9)/SUM($L$7:$L$9))</f>
        <v>1.7</v>
      </c>
      <c r="I10" s="31" t="n">
        <f aca="false">IF(SUM($L$7:$L$9)=0,0,SUMPRODUCT(I7:I9,$L$7:$L$9)/SUM($L$7:$L$9))</f>
        <v>319</v>
      </c>
      <c r="J10" s="31" t="n">
        <f aca="false">IF(SUM($L$7:$L$9)=0,0,SUMPRODUCT(J7:J9,$L$7:$L$9)/SUM($L$7:$L$9))</f>
        <v>15</v>
      </c>
      <c r="K10" s="20" t="n">
        <f aca="false">$B$8</f>
        <v>334</v>
      </c>
      <c r="L10" s="32" t="n">
        <f aca="false">SUM(L7:L9)</f>
        <v>1</v>
      </c>
      <c r="M10" s="22" t="n">
        <f aca="false">H10*$B$9</f>
        <v>68</v>
      </c>
      <c r="N10" s="20" t="n">
        <f aca="false">$B$66</f>
        <v>143.113333333333</v>
      </c>
      <c r="O10" s="23" t="n">
        <f aca="false">$B$63</f>
        <v>55814.2</v>
      </c>
      <c r="P10" s="24" t="n">
        <f aca="false">$B$73</f>
        <v>8.06676086956522</v>
      </c>
      <c r="Q10" s="20" t="n">
        <f aca="false">$B$67</f>
        <v>84.1843137254902</v>
      </c>
    </row>
    <row r="11" customFormat="false" ht="15" hidden="false" customHeight="false" outlineLevel="0" collapsed="false">
      <c r="A11" s="8" t="s">
        <v>45</v>
      </c>
      <c r="B11" s="9" t="s">
        <v>46</v>
      </c>
      <c r="C11" s="6" t="s">
        <v>47</v>
      </c>
      <c r="E11" s="6" t="str">
        <f aca="false">IF(ROUND(L10,4)=1,"Offer shares add up to 100%.","Warning: offer shares add up to "&amp;TEXT(L10,"0%")&amp;" - they are scaled to 100% in the calculations.")</f>
        <v>Offer shares add up to 100%.</v>
      </c>
    </row>
    <row r="12" customFormat="false" ht="15" hidden="false" customHeight="false" outlineLevel="0" collapsed="false">
      <c r="A12" s="8" t="s">
        <v>48</v>
      </c>
      <c r="B12" s="33" t="n">
        <v>1000</v>
      </c>
      <c r="C12" s="6" t="s">
        <v>49</v>
      </c>
      <c r="E12" s="6" t="str">
        <f aca="false">"Customers pay the delivery fee only on delivered orders. COD Network's shipping cost is still charged to you. Currency: "&amp;$B$25</f>
        <v>Customers pay the delivery fee only on delivered orders. COD Network's shipping cost is still charged to you. Currency: MAD</v>
      </c>
      <c r="S12" s="6" t="s">
        <v>50</v>
      </c>
    </row>
    <row r="13" customFormat="false" ht="15" hidden="false" customHeight="false" outlineLevel="0" collapsed="false">
      <c r="A13" s="8" t="s">
        <v>51</v>
      </c>
      <c r="B13" s="34" t="n">
        <v>0.6</v>
      </c>
      <c r="C13" s="6" t="s">
        <v>52</v>
      </c>
      <c r="S13" s="6" t="s">
        <v>53</v>
      </c>
      <c r="T13" s="25" t="n">
        <f aca="false">B8+B15*B16</f>
        <v>334</v>
      </c>
    </row>
    <row r="14" customFormat="false" ht="15" hidden="false" customHeight="false" outlineLevel="0" collapsed="false">
      <c r="A14" s="8" t="s">
        <v>54</v>
      </c>
      <c r="B14" s="34" t="n">
        <v>0.35</v>
      </c>
      <c r="C14" s="6" t="s">
        <v>55</v>
      </c>
      <c r="E14" s="7" t="s">
        <v>56</v>
      </c>
      <c r="F14" s="7"/>
      <c r="G14" s="7"/>
      <c r="H14" s="7"/>
      <c r="I14" s="7"/>
      <c r="J14" s="7"/>
      <c r="K14" s="7"/>
      <c r="L14" s="7"/>
      <c r="S14" s="6" t="s">
        <v>57</v>
      </c>
      <c r="T14" s="25" t="n">
        <f aca="false">T13*(1-B34)-B27-B28-B15*B29-B30-B32-B33</f>
        <v>280</v>
      </c>
    </row>
    <row r="15" customFormat="false" ht="15" hidden="false" customHeight="false" outlineLevel="0" collapsed="false">
      <c r="A15" s="8" t="s">
        <v>58</v>
      </c>
      <c r="B15" s="34" t="n">
        <v>0</v>
      </c>
      <c r="C15" s="6" t="s">
        <v>59</v>
      </c>
      <c r="E15" s="6" t="str">
        <f aca="false">"Uses your offer mix, confirmation rate and fees. CPL in "&amp;IF($B$11="USD","USD",$B$25)&amp;", profit in "&amp;$B$25&amp;"."</f>
        <v>Uses your offer mix, confirmation rate and fees. CPL in USD, profit in MAD.</v>
      </c>
      <c r="S15" s="6" t="s">
        <v>60</v>
      </c>
      <c r="T15" s="25" t="n">
        <f aca="false">-(B27+B31+B32+B33)</f>
        <v>-21</v>
      </c>
    </row>
    <row r="16" customFormat="false" ht="15" hidden="false" customHeight="false" outlineLevel="0" collapsed="false">
      <c r="A16" s="8" t="s">
        <v>61</v>
      </c>
      <c r="B16" s="28" t="n">
        <v>0</v>
      </c>
      <c r="C16" s="6" t="s">
        <v>62</v>
      </c>
      <c r="E16" s="29" t="s">
        <v>63</v>
      </c>
      <c r="F16" s="35" t="n">
        <v>0.15</v>
      </c>
      <c r="G16" s="35" t="n">
        <v>0.25</v>
      </c>
      <c r="H16" s="35" t="n">
        <v>0.3</v>
      </c>
      <c r="I16" s="35" t="n">
        <v>0.35</v>
      </c>
      <c r="J16" s="35" t="n">
        <v>0.4</v>
      </c>
      <c r="K16" s="35" t="n">
        <v>0.5</v>
      </c>
      <c r="L16" s="35" t="n">
        <v>0.6</v>
      </c>
      <c r="S16" s="6" t="s">
        <v>64</v>
      </c>
      <c r="T16" s="25" t="n">
        <f aca="false">H10*B9+B15*B17</f>
        <v>68</v>
      </c>
    </row>
    <row r="17" customFormat="false" ht="15" hidden="false" customHeight="false" outlineLevel="0" collapsed="false">
      <c r="A17" s="8" t="s">
        <v>65</v>
      </c>
      <c r="B17" s="28" t="n">
        <v>0</v>
      </c>
      <c r="C17" s="6" t="s">
        <v>66</v>
      </c>
      <c r="E17" s="31" t="n">
        <f aca="false">$B$10*0.5</f>
        <v>1</v>
      </c>
      <c r="F17" s="36" t="n">
        <f aca="false">$B$12*((1-$B$19)*(-$T$17+$B$13*(1-F$16)*$T$14+$B$13*F$16*$T$15)-$B$13*(1-F$16)*$T$16-$E17*IF($B$11="USD",$B$35,1))-$B$20</f>
        <v>92251.8</v>
      </c>
      <c r="G17" s="36" t="n">
        <f aca="false">$B$12*((1-$B$19)*(-$T$17+$B$13*(1-G$16)*$T$14+$B$13*G$16*$T$15)-$B$13*(1-G$16)*$T$16-$E17*IF($B$11="USD",$B$35,1))-$B$20</f>
        <v>78633</v>
      </c>
      <c r="H17" s="36" t="n">
        <f aca="false">$B$12*((1-$B$19)*(-$T$17+$B$13*(1-H$16)*$T$14+$B$13*H$16*$T$15)-$B$13*(1-H$16)*$T$16-$E17*IF($B$11="USD",$B$35,1))-$B$20</f>
        <v>71823.6</v>
      </c>
      <c r="I17" s="36" t="n">
        <f aca="false">$B$12*((1-$B$19)*(-$T$17+$B$13*(1-I$16)*$T$14+$B$13*I$16*$T$15)-$B$13*(1-I$16)*$T$16-$E17*IF($B$11="USD",$B$35,1))-$B$20</f>
        <v>65014.2</v>
      </c>
      <c r="J17" s="36" t="n">
        <f aca="false">$B$12*((1-$B$19)*(-$T$17+$B$13*(1-J$16)*$T$14+$B$13*J$16*$T$15)-$B$13*(1-J$16)*$T$16-$E17*IF($B$11="USD",$B$35,1))-$B$20</f>
        <v>58204.8</v>
      </c>
      <c r="K17" s="36" t="n">
        <f aca="false">$B$12*((1-$B$19)*(-$T$17+$B$13*(1-K$16)*$T$14+$B$13*K$16*$T$15)-$B$13*(1-K$16)*$T$16-$E17*IF($B$11="USD",$B$35,1))-$B$20</f>
        <v>44586</v>
      </c>
      <c r="L17" s="36" t="n">
        <f aca="false">$B$12*((1-$B$19)*(-$T$17+$B$13*(1-L$16)*$T$14+$B$13*L$16*$T$15)-$B$13*(1-L$16)*$T$16-$E17*IF($B$11="USD",$B$35,1))-$B$20</f>
        <v>30967.2</v>
      </c>
      <c r="S17" s="6" t="s">
        <v>67</v>
      </c>
      <c r="T17" s="25" t="n">
        <f aca="false">B26</f>
        <v>2</v>
      </c>
    </row>
    <row r="18" customFormat="false" ht="15" hidden="false" customHeight="false" outlineLevel="0" collapsed="false">
      <c r="A18" s="8" t="s">
        <v>68</v>
      </c>
      <c r="B18" s="37" t="n">
        <v>0.5</v>
      </c>
      <c r="C18" s="6" t="s">
        <v>69</v>
      </c>
      <c r="E18" s="31" t="n">
        <f aca="false">$B$10*0.75</f>
        <v>1.5</v>
      </c>
      <c r="F18" s="36" t="n">
        <f aca="false">$B$12*((1-$B$19)*(-$T$17+$B$13*(1-F$16)*$T$14+$B$13*F$16*$T$15)-$B$13*(1-F$16)*$T$16-$E18*IF($B$11="USD",$B$35,1))-$B$20</f>
        <v>87651.8</v>
      </c>
      <c r="G18" s="36" t="n">
        <f aca="false">$B$12*((1-$B$19)*(-$T$17+$B$13*(1-G$16)*$T$14+$B$13*G$16*$T$15)-$B$13*(1-G$16)*$T$16-$E18*IF($B$11="USD",$B$35,1))-$B$20</f>
        <v>74033</v>
      </c>
      <c r="H18" s="36" t="n">
        <f aca="false">$B$12*((1-$B$19)*(-$T$17+$B$13*(1-H$16)*$T$14+$B$13*H$16*$T$15)-$B$13*(1-H$16)*$T$16-$E18*IF($B$11="USD",$B$35,1))-$B$20</f>
        <v>67223.6</v>
      </c>
      <c r="I18" s="36" t="n">
        <f aca="false">$B$12*((1-$B$19)*(-$T$17+$B$13*(1-I$16)*$T$14+$B$13*I$16*$T$15)-$B$13*(1-I$16)*$T$16-$E18*IF($B$11="USD",$B$35,1))-$B$20</f>
        <v>60414.2</v>
      </c>
      <c r="J18" s="36" t="n">
        <f aca="false">$B$12*((1-$B$19)*(-$T$17+$B$13*(1-J$16)*$T$14+$B$13*J$16*$T$15)-$B$13*(1-J$16)*$T$16-$E18*IF($B$11="USD",$B$35,1))-$B$20</f>
        <v>53604.8</v>
      </c>
      <c r="K18" s="36" t="n">
        <f aca="false">$B$12*((1-$B$19)*(-$T$17+$B$13*(1-K$16)*$T$14+$B$13*K$16*$T$15)-$B$13*(1-K$16)*$T$16-$E18*IF($B$11="USD",$B$35,1))-$B$20</f>
        <v>39986</v>
      </c>
      <c r="L18" s="36" t="n">
        <f aca="false">$B$12*((1-$B$19)*(-$T$17+$B$13*(1-L$16)*$T$14+$B$13*L$16*$T$15)-$B$13*(1-L$16)*$T$16-$E18*IF($B$11="USD",$B$35,1))-$B$20</f>
        <v>26367.2</v>
      </c>
      <c r="S18" s="6" t="s">
        <v>70</v>
      </c>
      <c r="T18" s="25" t="n">
        <f aca="false">IF(B12=0,0,B20/B12)</f>
        <v>0</v>
      </c>
    </row>
    <row r="19" customFormat="false" ht="15" hidden="false" customHeight="false" outlineLevel="0" collapsed="false">
      <c r="A19" s="8" t="s">
        <v>71</v>
      </c>
      <c r="B19" s="34" t="n">
        <v>0.02</v>
      </c>
      <c r="C19" s="6" t="s">
        <v>72</v>
      </c>
      <c r="E19" s="31" t="n">
        <f aca="false">$B$10*1</f>
        <v>2</v>
      </c>
      <c r="F19" s="36" t="n">
        <f aca="false">$B$12*((1-$B$19)*(-$T$17+$B$13*(1-F$16)*$T$14+$B$13*F$16*$T$15)-$B$13*(1-F$16)*$T$16-$E19*IF($B$11="USD",$B$35,1))-$B$20</f>
        <v>83051.8</v>
      </c>
      <c r="G19" s="36" t="n">
        <f aca="false">$B$12*((1-$B$19)*(-$T$17+$B$13*(1-G$16)*$T$14+$B$13*G$16*$T$15)-$B$13*(1-G$16)*$T$16-$E19*IF($B$11="USD",$B$35,1))-$B$20</f>
        <v>69433</v>
      </c>
      <c r="H19" s="36" t="n">
        <f aca="false">$B$12*((1-$B$19)*(-$T$17+$B$13*(1-H$16)*$T$14+$B$13*H$16*$T$15)-$B$13*(1-H$16)*$T$16-$E19*IF($B$11="USD",$B$35,1))-$B$20</f>
        <v>62623.6</v>
      </c>
      <c r="I19" s="36" t="n">
        <f aca="false">$B$12*((1-$B$19)*(-$T$17+$B$13*(1-I$16)*$T$14+$B$13*I$16*$T$15)-$B$13*(1-I$16)*$T$16-$E19*IF($B$11="USD",$B$35,1))-$B$20</f>
        <v>55814.2</v>
      </c>
      <c r="J19" s="36" t="n">
        <f aca="false">$B$12*((1-$B$19)*(-$T$17+$B$13*(1-J$16)*$T$14+$B$13*J$16*$T$15)-$B$13*(1-J$16)*$T$16-$E19*IF($B$11="USD",$B$35,1))-$B$20</f>
        <v>49004.8</v>
      </c>
      <c r="K19" s="36" t="n">
        <f aca="false">$B$12*((1-$B$19)*(-$T$17+$B$13*(1-K$16)*$T$14+$B$13*K$16*$T$15)-$B$13*(1-K$16)*$T$16-$E19*IF($B$11="USD",$B$35,1))-$B$20</f>
        <v>35386</v>
      </c>
      <c r="L19" s="36" t="n">
        <f aca="false">$B$12*((1-$B$19)*(-$T$17+$B$13*(1-L$16)*$T$14+$B$13*L$16*$T$15)-$B$13*(1-L$16)*$T$16-$E19*IF($B$11="USD",$B$35,1))-$B$20</f>
        <v>21767.2</v>
      </c>
      <c r="S19" s="6" t="s">
        <v>73</v>
      </c>
      <c r="T19" s="25" t="n">
        <f aca="false">B12*((1-B19)*(-T17+B13*T14)-B13*T16-B36-T18)</f>
        <v>103480</v>
      </c>
    </row>
    <row r="20" customFormat="false" ht="15" hidden="false" customHeight="false" outlineLevel="0" collapsed="false">
      <c r="A20" s="8" t="s">
        <v>74</v>
      </c>
      <c r="B20" s="28" t="n">
        <v>0</v>
      </c>
      <c r="C20" s="6" t="s">
        <v>75</v>
      </c>
      <c r="E20" s="31" t="n">
        <f aca="false">$B$10*1.25</f>
        <v>2.5</v>
      </c>
      <c r="F20" s="36" t="n">
        <f aca="false">$B$12*((1-$B$19)*(-$T$17+$B$13*(1-F$16)*$T$14+$B$13*F$16*$T$15)-$B$13*(1-F$16)*$T$16-$E20*IF($B$11="USD",$B$35,1))-$B$20</f>
        <v>78451.8</v>
      </c>
      <c r="G20" s="36" t="n">
        <f aca="false">$B$12*((1-$B$19)*(-$T$17+$B$13*(1-G$16)*$T$14+$B$13*G$16*$T$15)-$B$13*(1-G$16)*$T$16-$E20*IF($B$11="USD",$B$35,1))-$B$20</f>
        <v>64833</v>
      </c>
      <c r="H20" s="36" t="n">
        <f aca="false">$B$12*((1-$B$19)*(-$T$17+$B$13*(1-H$16)*$T$14+$B$13*H$16*$T$15)-$B$13*(1-H$16)*$T$16-$E20*IF($B$11="USD",$B$35,1))-$B$20</f>
        <v>58023.6</v>
      </c>
      <c r="I20" s="36" t="n">
        <f aca="false">$B$12*((1-$B$19)*(-$T$17+$B$13*(1-I$16)*$T$14+$B$13*I$16*$T$15)-$B$13*(1-I$16)*$T$16-$E20*IF($B$11="USD",$B$35,1))-$B$20</f>
        <v>51214.2</v>
      </c>
      <c r="J20" s="36" t="n">
        <f aca="false">$B$12*((1-$B$19)*(-$T$17+$B$13*(1-J$16)*$T$14+$B$13*J$16*$T$15)-$B$13*(1-J$16)*$T$16-$E20*IF($B$11="USD",$B$35,1))-$B$20</f>
        <v>44404.8</v>
      </c>
      <c r="K20" s="36" t="n">
        <f aca="false">$B$12*((1-$B$19)*(-$T$17+$B$13*(1-K$16)*$T$14+$B$13*K$16*$T$15)-$B$13*(1-K$16)*$T$16-$E20*IF($B$11="USD",$B$35,1))-$B$20</f>
        <v>30786</v>
      </c>
      <c r="L20" s="36" t="n">
        <f aca="false">$B$12*((1-$B$19)*(-$T$17+$B$13*(1-L$16)*$T$14+$B$13*L$16*$T$15)-$B$13*(1-L$16)*$T$16-$E20*IF($B$11="USD",$B$35,1))-$B$20</f>
        <v>17167.2</v>
      </c>
      <c r="S20" s="6" t="s">
        <v>76</v>
      </c>
      <c r="T20" s="25" t="n">
        <f aca="false">B12*B13*((1-B19)*(T15-T14)+T16)</f>
        <v>-136188</v>
      </c>
    </row>
    <row r="21" customFormat="false" ht="15" hidden="false" customHeight="false" outlineLevel="0" collapsed="false">
      <c r="E21" s="31" t="n">
        <f aca="false">$B$10*1.5</f>
        <v>3</v>
      </c>
      <c r="F21" s="36" t="n">
        <f aca="false">$B$12*((1-$B$19)*(-$T$17+$B$13*(1-F$16)*$T$14+$B$13*F$16*$T$15)-$B$13*(1-F$16)*$T$16-$E21*IF($B$11="USD",$B$35,1))-$B$20</f>
        <v>73851.8</v>
      </c>
      <c r="G21" s="36" t="n">
        <f aca="false">$B$12*((1-$B$19)*(-$T$17+$B$13*(1-G$16)*$T$14+$B$13*G$16*$T$15)-$B$13*(1-G$16)*$T$16-$E21*IF($B$11="USD",$B$35,1))-$B$20</f>
        <v>60233</v>
      </c>
      <c r="H21" s="36" t="n">
        <f aca="false">$B$12*((1-$B$19)*(-$T$17+$B$13*(1-H$16)*$T$14+$B$13*H$16*$T$15)-$B$13*(1-H$16)*$T$16-$E21*IF($B$11="USD",$B$35,1))-$B$20</f>
        <v>53423.6</v>
      </c>
      <c r="I21" s="36" t="n">
        <f aca="false">$B$12*((1-$B$19)*(-$T$17+$B$13*(1-I$16)*$T$14+$B$13*I$16*$T$15)-$B$13*(1-I$16)*$T$16-$E21*IF($B$11="USD",$B$35,1))-$B$20</f>
        <v>46614.2</v>
      </c>
      <c r="J21" s="36" t="n">
        <f aca="false">$B$12*((1-$B$19)*(-$T$17+$B$13*(1-J$16)*$T$14+$B$13*J$16*$T$15)-$B$13*(1-J$16)*$T$16-$E21*IF($B$11="USD",$B$35,1))-$B$20</f>
        <v>39804.8</v>
      </c>
      <c r="K21" s="36" t="n">
        <f aca="false">$B$12*((1-$B$19)*(-$T$17+$B$13*(1-K$16)*$T$14+$B$13*K$16*$T$15)-$B$13*(1-K$16)*$T$16-$E21*IF($B$11="USD",$B$35,1))-$B$20</f>
        <v>26186</v>
      </c>
      <c r="L21" s="36" t="n">
        <f aca="false">$B$12*((1-$B$19)*(-$T$17+$B$13*(1-L$16)*$T$14+$B$13*L$16*$T$15)-$B$13*(1-L$16)*$T$16-$E21*IF($B$11="USD",$B$35,1))-$B$20</f>
        <v>12567.2</v>
      </c>
      <c r="S21" s="6" t="s">
        <v>77</v>
      </c>
      <c r="T21" s="25" t="n">
        <f aca="false">ROUND(T19+T20*B14-B63,6)</f>
        <v>0</v>
      </c>
    </row>
    <row r="22" customFormat="false" ht="15" hidden="false" customHeight="false" outlineLevel="0" collapsed="false">
      <c r="A22" s="7" t="s">
        <v>78</v>
      </c>
      <c r="B22" s="7"/>
      <c r="C22" s="7"/>
      <c r="E22" s="31" t="n">
        <f aca="false">$B$10*2</f>
        <v>4</v>
      </c>
      <c r="F22" s="36" t="n">
        <f aca="false">$B$12*((1-$B$19)*(-$T$17+$B$13*(1-F$16)*$T$14+$B$13*F$16*$T$15)-$B$13*(1-F$16)*$T$16-$E22*IF($B$11="USD",$B$35,1))-$B$20</f>
        <v>64651.8</v>
      </c>
      <c r="G22" s="36" t="n">
        <f aca="false">$B$12*((1-$B$19)*(-$T$17+$B$13*(1-G$16)*$T$14+$B$13*G$16*$T$15)-$B$13*(1-G$16)*$T$16-$E22*IF($B$11="USD",$B$35,1))-$B$20</f>
        <v>51033</v>
      </c>
      <c r="H22" s="36" t="n">
        <f aca="false">$B$12*((1-$B$19)*(-$T$17+$B$13*(1-H$16)*$T$14+$B$13*H$16*$T$15)-$B$13*(1-H$16)*$T$16-$E22*IF($B$11="USD",$B$35,1))-$B$20</f>
        <v>44223.6</v>
      </c>
      <c r="I22" s="36" t="n">
        <f aca="false">$B$12*((1-$B$19)*(-$T$17+$B$13*(1-I$16)*$T$14+$B$13*I$16*$T$15)-$B$13*(1-I$16)*$T$16-$E22*IF($B$11="USD",$B$35,1))-$B$20</f>
        <v>37414.2</v>
      </c>
      <c r="J22" s="36" t="n">
        <f aca="false">$B$12*((1-$B$19)*(-$T$17+$B$13*(1-J$16)*$T$14+$B$13*J$16*$T$15)-$B$13*(1-J$16)*$T$16-$E22*IF($B$11="USD",$B$35,1))-$B$20</f>
        <v>30604.8</v>
      </c>
      <c r="K22" s="36" t="n">
        <f aca="false">$B$12*((1-$B$19)*(-$T$17+$B$13*(1-K$16)*$T$14+$B$13*K$16*$T$15)-$B$13*(1-K$16)*$T$16-$E22*IF($B$11="USD",$B$35,1))-$B$20</f>
        <v>16986</v>
      </c>
      <c r="L22" s="36" t="n">
        <f aca="false">$B$12*((1-$B$19)*(-$T$17+$B$13*(1-L$16)*$T$14+$B$13*L$16*$T$15)-$B$13*(1-L$16)*$T$16-$E22*IF($B$11="USD",$B$35,1))-$B$20</f>
        <v>3367.2</v>
      </c>
      <c r="S22" s="6" t="s">
        <v>79</v>
      </c>
      <c r="T22" s="25" t="n">
        <f aca="false">ROUND(IF(L10=0,0,SUMPRODUCT(O7:O9,L7:L9)/L10)-B63,6)</f>
        <v>0</v>
      </c>
    </row>
    <row r="23" customFormat="false" ht="15" hidden="false" customHeight="false" outlineLevel="0" collapsed="false">
      <c r="A23" s="6" t="s">
        <v>80</v>
      </c>
      <c r="B23" s="38" t="n">
        <f aca="false">MATCH(B5,'COD Network Fees'!$A$5:$A$23,0)</f>
        <v>7</v>
      </c>
      <c r="C23" s="6" t="s">
        <v>81</v>
      </c>
      <c r="E23" s="31" t="n">
        <f aca="false">$B$10*2.5</f>
        <v>5</v>
      </c>
      <c r="F23" s="36" t="n">
        <f aca="false">$B$12*((1-$B$19)*(-$T$17+$B$13*(1-F$16)*$T$14+$B$13*F$16*$T$15)-$B$13*(1-F$16)*$T$16-$E23*IF($B$11="USD",$B$35,1))-$B$20</f>
        <v>55451.8</v>
      </c>
      <c r="G23" s="36" t="n">
        <f aca="false">$B$12*((1-$B$19)*(-$T$17+$B$13*(1-G$16)*$T$14+$B$13*G$16*$T$15)-$B$13*(1-G$16)*$T$16-$E23*IF($B$11="USD",$B$35,1))-$B$20</f>
        <v>41833</v>
      </c>
      <c r="H23" s="36" t="n">
        <f aca="false">$B$12*((1-$B$19)*(-$T$17+$B$13*(1-H$16)*$T$14+$B$13*H$16*$T$15)-$B$13*(1-H$16)*$T$16-$E23*IF($B$11="USD",$B$35,1))-$B$20</f>
        <v>35023.6</v>
      </c>
      <c r="I23" s="36" t="n">
        <f aca="false">$B$12*((1-$B$19)*(-$T$17+$B$13*(1-I$16)*$T$14+$B$13*I$16*$T$15)-$B$13*(1-I$16)*$T$16-$E23*IF($B$11="USD",$B$35,1))-$B$20</f>
        <v>28214.2</v>
      </c>
      <c r="J23" s="36" t="n">
        <f aca="false">$B$12*((1-$B$19)*(-$T$17+$B$13*(1-J$16)*$T$14+$B$13*J$16*$T$15)-$B$13*(1-J$16)*$T$16-$E23*IF($B$11="USD",$B$35,1))-$B$20</f>
        <v>21404.8</v>
      </c>
      <c r="K23" s="36" t="n">
        <f aca="false">$B$12*((1-$B$19)*(-$T$17+$B$13*(1-K$16)*$T$14+$B$13*K$16*$T$15)-$B$13*(1-K$16)*$T$16-$E23*IF($B$11="USD",$B$35,1))-$B$20</f>
        <v>7786.00000000001</v>
      </c>
      <c r="L23" s="36" t="n">
        <f aca="false">$B$12*((1-$B$19)*(-$T$17+$B$13*(1-L$16)*$T$14+$B$13*L$16*$T$15)-$B$13*(1-L$16)*$T$16-$E23*IF($B$11="USD",$B$35,1))-$B$20</f>
        <v>-5832.8</v>
      </c>
    </row>
    <row r="24" customFormat="false" ht="15" hidden="false" customHeight="false" outlineLevel="0" collapsed="false">
      <c r="A24" s="8" t="s">
        <v>82</v>
      </c>
      <c r="B24" s="39" t="str">
        <f aca="false">INDEX('COD Network Fees'!$B$5:$B$23,$B$23)</f>
        <v>Morocco</v>
      </c>
      <c r="C24" s="6"/>
      <c r="E24" s="6" t="s">
        <v>83</v>
      </c>
    </row>
    <row r="25" customFormat="false" ht="15" hidden="false" customHeight="false" outlineLevel="0" collapsed="false">
      <c r="A25" s="8" t="s">
        <v>84</v>
      </c>
      <c r="B25" s="39" t="str">
        <f aca="false">INDEX('COD Network Fees'!$C$5:$C$23,$B$23)</f>
        <v>MAD</v>
      </c>
      <c r="C25" s="6" t="s">
        <v>85</v>
      </c>
    </row>
    <row r="26" customFormat="false" ht="15" hidden="false" customHeight="false" outlineLevel="0" collapsed="false">
      <c r="A26" s="8" t="s">
        <v>86</v>
      </c>
      <c r="B26" s="40" t="n">
        <f aca="false">IF($B$7="Yes",IF($B$6="Cosmetic",INDEX('COD Network Fees'!$G$5:$G$23,$B$23),INDEX('COD Network Fees'!$D$5:$D$23,$B$23)),0)</f>
        <v>2</v>
      </c>
      <c r="C26" s="6"/>
    </row>
    <row r="27" customFormat="false" ht="15" hidden="false" customHeight="false" outlineLevel="0" collapsed="false">
      <c r="A27" s="8" t="s">
        <v>87</v>
      </c>
      <c r="B27" s="40" t="n">
        <f aca="false">IF($B$7="Yes",IF($B$6="Cosmetic",INDEX('COD Network Fees'!$H$5:$H$23,$B$23),INDEX('COD Network Fees'!$E$5:$E$23,$B$23)),0)</f>
        <v>4</v>
      </c>
      <c r="C27" s="6"/>
    </row>
    <row r="28" customFormat="false" ht="15" hidden="false" customHeight="false" outlineLevel="0" collapsed="false">
      <c r="A28" s="8" t="s">
        <v>88</v>
      </c>
      <c r="B28" s="40" t="n">
        <f aca="false">IF($B$7="Yes",IF($B$6="Cosmetic",INDEX('COD Network Fees'!$I$5:$I$23,$B$23),INDEX('COD Network Fees'!$F$5:$F$23,$B$23)),0)</f>
        <v>7</v>
      </c>
      <c r="C28" s="6"/>
    </row>
    <row r="29" customFormat="false" ht="15" hidden="false" customHeight="false" outlineLevel="0" collapsed="false">
      <c r="A29" s="8" t="s">
        <v>89</v>
      </c>
      <c r="B29" s="40" t="n">
        <f aca="false">IF($B$7="Yes",INDEX('COD Network Fees'!$J$5:$J$23,$B$23),0)</f>
        <v>5</v>
      </c>
      <c r="C29" s="6"/>
    </row>
    <row r="30" customFormat="false" ht="15" hidden="false" customHeight="false" outlineLevel="0" collapsed="false">
      <c r="A30" s="8" t="s">
        <v>90</v>
      </c>
      <c r="B30" s="40" t="n">
        <f aca="false">IF(AND($B$7="No",INDEX('COD Network Fees'!$M$5:$M$23,$B$23)&lt;&gt;""),INDEX('COD Network Fees'!$M$5:$M$23,$B$23),INDEX('COD Network Fees'!$K$5:$K$23,$B$23))</f>
        <v>35</v>
      </c>
      <c r="C30" s="6" t="s">
        <v>91</v>
      </c>
    </row>
    <row r="31" customFormat="false" ht="15" hidden="false" customHeight="false" outlineLevel="0" collapsed="false">
      <c r="A31" s="8" t="s">
        <v>92</v>
      </c>
      <c r="B31" s="40" t="n">
        <f aca="false">IF(AND($B$7="No",INDEX('COD Network Fees'!$M$5:$M$23,$B$23)&lt;&gt;""),INDEX('COD Network Fees'!$M$5:$M$23,$B$23),INDEX('COD Network Fees'!$L$5:$L$23,$B$23))</f>
        <v>9</v>
      </c>
      <c r="C31" s="6"/>
    </row>
    <row r="32" customFormat="false" ht="15" hidden="false" customHeight="false" outlineLevel="0" collapsed="false">
      <c r="A32" s="8" t="s">
        <v>93</v>
      </c>
      <c r="B32" s="40" t="n">
        <f aca="false">INDEX('COD Network Fees'!$N$5:$N$23,$B$23)</f>
        <v>8</v>
      </c>
      <c r="C32" s="6" t="s">
        <v>94</v>
      </c>
    </row>
    <row r="33" customFormat="false" ht="15" hidden="false" customHeight="false" outlineLevel="0" collapsed="false">
      <c r="A33" s="8" t="s">
        <v>95</v>
      </c>
      <c r="B33" s="40" t="n">
        <f aca="false">IF(SUM($L$7:$L$9)=0,0,SUMPRODUCT($S$7:$S$9,$L$7:$L$9)/SUM($L$7:$L$9))</f>
        <v>0</v>
      </c>
      <c r="C33" s="6" t="s">
        <v>96</v>
      </c>
    </row>
    <row r="34" customFormat="false" ht="15" hidden="false" customHeight="false" outlineLevel="0" collapsed="false">
      <c r="A34" s="8" t="s">
        <v>97</v>
      </c>
      <c r="B34" s="41" t="n">
        <f aca="false">INDEX('COD Network Fees'!$P$5:$P$23,$B$23)</f>
        <v>0</v>
      </c>
      <c r="C34" s="6"/>
    </row>
    <row r="35" customFormat="false" ht="15" hidden="false" customHeight="false" outlineLevel="0" collapsed="false">
      <c r="A35" s="8" t="s">
        <v>98</v>
      </c>
      <c r="B35" s="42" t="n">
        <f aca="false">INDEX('COD Network Fees'!$B$27:$B$29,MATCH($B$25,'COD Network Fees'!$A$27:$A$29,0))</f>
        <v>9.2</v>
      </c>
      <c r="C35" s="6" t="s">
        <v>99</v>
      </c>
    </row>
    <row r="36" customFormat="false" ht="15" hidden="false" customHeight="false" outlineLevel="0" collapsed="false">
      <c r="A36" s="43" t="s">
        <v>100</v>
      </c>
      <c r="B36" s="44" t="n">
        <f aca="false">IF($B$11="USD",$B$10*$B$35,$B$10)</f>
        <v>18.4</v>
      </c>
      <c r="C36" s="6"/>
    </row>
    <row r="38" customFormat="false" ht="15" hidden="false" customHeight="false" outlineLevel="0" collapsed="false">
      <c r="A38" s="7" t="s">
        <v>101</v>
      </c>
      <c r="B38" s="7"/>
      <c r="C38" s="7"/>
    </row>
    <row r="39" customFormat="false" ht="15" hidden="false" customHeight="false" outlineLevel="0" collapsed="false">
      <c r="A39" s="8" t="s">
        <v>102</v>
      </c>
      <c r="B39" s="45" t="n">
        <f aca="false">B12</f>
        <v>1000</v>
      </c>
      <c r="C39" s="6"/>
    </row>
    <row r="40" customFormat="false" ht="15" hidden="false" customHeight="false" outlineLevel="0" collapsed="false">
      <c r="A40" s="8" t="s">
        <v>103</v>
      </c>
      <c r="B40" s="45" t="n">
        <f aca="false">B39*B13</f>
        <v>600</v>
      </c>
      <c r="C40" s="6"/>
    </row>
    <row r="41" customFormat="false" ht="15" hidden="false" customHeight="false" outlineLevel="0" collapsed="false">
      <c r="A41" s="8" t="s">
        <v>104</v>
      </c>
      <c r="B41" s="45" t="n">
        <f aca="false">B40*(1-B14)</f>
        <v>390</v>
      </c>
      <c r="C41" s="6" t="str">
        <f aca="false">"= "&amp;TEXT(B41*$H$10,"#,##0")&amp;" units delivered (incl. free units)"</f>
        <v>= 663 units delivered (incl. free units)</v>
      </c>
    </row>
    <row r="42" customFormat="false" ht="15" hidden="false" customHeight="false" outlineLevel="0" collapsed="false">
      <c r="A42" s="8" t="s">
        <v>105</v>
      </c>
      <c r="B42" s="45" t="n">
        <f aca="false">B40*B14</f>
        <v>210</v>
      </c>
      <c r="C42" s="6"/>
    </row>
    <row r="43" customFormat="false" ht="15" hidden="false" customHeight="false" outlineLevel="0" collapsed="false">
      <c r="A43" s="8" t="s">
        <v>106</v>
      </c>
      <c r="B43" s="45" t="n">
        <f aca="false">B41*B15</f>
        <v>0</v>
      </c>
      <c r="C43" s="6"/>
    </row>
    <row r="44" customFormat="false" ht="15" hidden="false" customHeight="false" outlineLevel="0" collapsed="false">
      <c r="A44" s="8" t="s">
        <v>107</v>
      </c>
      <c r="B44" s="41" t="n">
        <f aca="false">IF(B39=0,0,B41/B39)</f>
        <v>0.39</v>
      </c>
      <c r="C44" s="6" t="s">
        <v>108</v>
      </c>
    </row>
    <row r="46" customFormat="false" ht="15" hidden="false" customHeight="false" outlineLevel="0" collapsed="false">
      <c r="A46" s="7" t="s">
        <v>109</v>
      </c>
      <c r="B46" s="7"/>
      <c r="C46" s="7"/>
    </row>
    <row r="47" customFormat="false" ht="15" hidden="false" customHeight="false" outlineLevel="0" collapsed="false">
      <c r="A47" s="8" t="s">
        <v>110</v>
      </c>
      <c r="B47" s="45" t="n">
        <f aca="false">B41*B8</f>
        <v>130260</v>
      </c>
      <c r="C47" s="6" t="str">
        <f aca="false">"incl. "&amp;TEXT(B41*$J$10,"#,##0")&amp;" of delivery fees paid by customers"</f>
        <v>incl. 5,850 of delivery fees paid by customers</v>
      </c>
    </row>
    <row r="48" customFormat="false" ht="15" hidden="false" customHeight="false" outlineLevel="0" collapsed="false">
      <c r="A48" s="8" t="s">
        <v>111</v>
      </c>
      <c r="B48" s="45" t="n">
        <f aca="false">B43*B16</f>
        <v>0</v>
      </c>
      <c r="C48" s="6"/>
    </row>
    <row r="49" customFormat="false" ht="15" hidden="false" customHeight="false" outlineLevel="0" collapsed="false">
      <c r="A49" s="26" t="s">
        <v>112</v>
      </c>
      <c r="B49" s="46" t="n">
        <f aca="false">B47+B48</f>
        <v>130260</v>
      </c>
      <c r="C49" s="6"/>
    </row>
    <row r="50" customFormat="false" ht="15" hidden="false" customHeight="false" outlineLevel="0" collapsed="false">
      <c r="A50" s="8" t="s">
        <v>113</v>
      </c>
      <c r="B50" s="45" t="n">
        <f aca="false">B39*B26+B40*B27+B41*B28+B43*B29</f>
        <v>7130</v>
      </c>
      <c r="C50" s="6" t="s">
        <v>114</v>
      </c>
    </row>
    <row r="51" customFormat="false" ht="15" hidden="false" customHeight="false" outlineLevel="0" collapsed="false">
      <c r="A51" s="8" t="s">
        <v>115</v>
      </c>
      <c r="B51" s="45" t="n">
        <f aca="false">B41*B30</f>
        <v>13650</v>
      </c>
      <c r="C51" s="6"/>
    </row>
    <row r="52" customFormat="false" ht="15" hidden="false" customHeight="false" outlineLevel="0" collapsed="false">
      <c r="A52" s="8" t="s">
        <v>116</v>
      </c>
      <c r="B52" s="45" t="n">
        <f aca="false">B42*B31</f>
        <v>1890</v>
      </c>
      <c r="C52" s="6"/>
    </row>
    <row r="53" customFormat="false" ht="15" hidden="false" customHeight="false" outlineLevel="0" collapsed="false">
      <c r="A53" s="8" t="s">
        <v>117</v>
      </c>
      <c r="B53" s="45" t="n">
        <f aca="false">B40*B32</f>
        <v>4800</v>
      </c>
      <c r="C53" s="6"/>
    </row>
    <row r="54" customFormat="false" ht="15" hidden="false" customHeight="false" outlineLevel="0" collapsed="false">
      <c r="A54" s="8" t="s">
        <v>118</v>
      </c>
      <c r="B54" s="45" t="n">
        <f aca="false">B40*B33</f>
        <v>0</v>
      </c>
      <c r="C54" s="6"/>
    </row>
    <row r="55" customFormat="false" ht="15" hidden="false" customHeight="false" outlineLevel="0" collapsed="false">
      <c r="A55" s="8" t="s">
        <v>119</v>
      </c>
      <c r="B55" s="45" t="n">
        <f aca="false">B49*B34</f>
        <v>0</v>
      </c>
      <c r="C55" s="6"/>
    </row>
    <row r="56" customFormat="false" ht="15" hidden="false" customHeight="false" outlineLevel="0" collapsed="false">
      <c r="A56" s="43" t="s">
        <v>120</v>
      </c>
      <c r="B56" s="47" t="n">
        <f aca="false">SUM(B50:B55)</f>
        <v>27470</v>
      </c>
      <c r="C56" s="6"/>
    </row>
    <row r="57" customFormat="false" ht="15" hidden="false" customHeight="false" outlineLevel="0" collapsed="false">
      <c r="A57" s="26" t="s">
        <v>121</v>
      </c>
      <c r="B57" s="46" t="n">
        <f aca="false">B49-B56</f>
        <v>102790</v>
      </c>
      <c r="C57" s="6" t="s">
        <v>122</v>
      </c>
    </row>
    <row r="58" customFormat="false" ht="15" hidden="false" customHeight="false" outlineLevel="0" collapsed="false">
      <c r="A58" s="8" t="s">
        <v>123</v>
      </c>
      <c r="B58" s="45" t="n">
        <f aca="false">B57*B19</f>
        <v>2055.8</v>
      </c>
      <c r="C58" s="6"/>
    </row>
    <row r="59" customFormat="false" ht="15" hidden="false" customHeight="false" outlineLevel="0" collapsed="false">
      <c r="A59" s="43" t="s">
        <v>124</v>
      </c>
      <c r="B59" s="47" t="n">
        <f aca="false">B39*B36</f>
        <v>18400</v>
      </c>
      <c r="C59" s="6" t="s">
        <v>125</v>
      </c>
    </row>
    <row r="60" customFormat="false" ht="15" hidden="false" customHeight="false" outlineLevel="0" collapsed="false">
      <c r="A60" s="43" t="s">
        <v>126</v>
      </c>
      <c r="B60" s="47" t="n">
        <f aca="false">B41*$H$10*B9+B43*B17</f>
        <v>26520</v>
      </c>
      <c r="C60" s="6" t="s">
        <v>127</v>
      </c>
    </row>
    <row r="61" customFormat="false" ht="15" hidden="false" customHeight="false" outlineLevel="0" collapsed="false">
      <c r="A61" s="8" t="s">
        <v>128</v>
      </c>
      <c r="B61" s="45" t="n">
        <f aca="false">B20</f>
        <v>0</v>
      </c>
      <c r="C61" s="6"/>
    </row>
    <row r="62" customFormat="false" ht="15" hidden="false" customHeight="false" outlineLevel="0" collapsed="false">
      <c r="A62" s="43" t="s">
        <v>129</v>
      </c>
      <c r="B62" s="47" t="n">
        <f aca="false">B56+B58+B59+B60+B61</f>
        <v>74445.8</v>
      </c>
      <c r="C62" s="6"/>
    </row>
    <row r="63" customFormat="false" ht="16.15" hidden="false" customHeight="false" outlineLevel="0" collapsed="false">
      <c r="A63" s="48" t="s">
        <v>130</v>
      </c>
      <c r="B63" s="49" t="n">
        <f aca="false">B49-B62</f>
        <v>55814.2</v>
      </c>
      <c r="C63" s="50" t="str">
        <f aca="false">"Net profit in USD: "&amp;TEXT(B63/B35,"#,##0")</f>
        <v>Net profit in USD: 6,067</v>
      </c>
    </row>
    <row r="65" customFormat="false" ht="15" hidden="false" customHeight="false" outlineLevel="0" collapsed="false">
      <c r="A65" s="7" t="s">
        <v>131</v>
      </c>
      <c r="B65" s="7"/>
      <c r="C65" s="7"/>
    </row>
    <row r="66" customFormat="false" ht="15" hidden="false" customHeight="false" outlineLevel="0" collapsed="false">
      <c r="A66" s="26" t="s">
        <v>25</v>
      </c>
      <c r="B66" s="27" t="n">
        <f aca="false">IF(B41=0,0,B63/B41)</f>
        <v>143.113333333333</v>
      </c>
      <c r="C66" s="6"/>
    </row>
    <row r="67" customFormat="false" ht="15" hidden="false" customHeight="false" outlineLevel="0" collapsed="false">
      <c r="A67" s="26" t="s">
        <v>28</v>
      </c>
      <c r="B67" s="27" t="n">
        <f aca="false">IF(B41*$H$10=0,0,B63/(B41*$H$10))</f>
        <v>84.1843137254902</v>
      </c>
      <c r="C67" s="6" t="s">
        <v>132</v>
      </c>
    </row>
    <row r="68" customFormat="false" ht="15" hidden="false" customHeight="false" outlineLevel="0" collapsed="false">
      <c r="A68" s="26" t="s">
        <v>133</v>
      </c>
      <c r="B68" s="51" t="n">
        <f aca="false">IF(B49=0,0,B63/B49)</f>
        <v>0.428483033932136</v>
      </c>
      <c r="C68" s="6"/>
    </row>
    <row r="69" customFormat="false" ht="15" hidden="false" customHeight="false" outlineLevel="0" collapsed="false">
      <c r="A69" s="26" t="s">
        <v>134</v>
      </c>
      <c r="B69" s="51" t="n">
        <f aca="false">IF((B59+B60)=0,0,B63/(B59+B60))</f>
        <v>1.24252448797863</v>
      </c>
      <c r="C69" s="6"/>
    </row>
    <row r="70" customFormat="false" ht="15" hidden="false" customHeight="false" outlineLevel="0" collapsed="false">
      <c r="A70" s="26" t="s">
        <v>135</v>
      </c>
      <c r="B70" s="52" t="n">
        <f aca="false">IF(B59=0,0,B49/B59)</f>
        <v>7.07934782608696</v>
      </c>
      <c r="C70" s="6"/>
    </row>
    <row r="71" customFormat="false" ht="15" hidden="false" customHeight="false" outlineLevel="0" collapsed="false">
      <c r="A71" s="43" t="s">
        <v>136</v>
      </c>
      <c r="B71" s="44" t="n">
        <f aca="false">IF(B41=0,0,B59/B41)</f>
        <v>47.1794871794872</v>
      </c>
      <c r="C71" s="6"/>
    </row>
    <row r="72" customFormat="false" ht="15" hidden="false" customHeight="false" outlineLevel="0" collapsed="false">
      <c r="A72" s="43" t="s">
        <v>137</v>
      </c>
      <c r="B72" s="44" t="n">
        <f aca="false">IF(B41=0,0,(B62-B60)/B41)</f>
        <v>122.886666666667</v>
      </c>
      <c r="C72" s="6" t="s">
        <v>138</v>
      </c>
    </row>
    <row r="73" customFormat="false" ht="15" hidden="false" customHeight="false" outlineLevel="0" collapsed="false">
      <c r="A73" s="53" t="s">
        <v>27</v>
      </c>
      <c r="B73" s="54" t="n">
        <f aca="false">IF(B39=0,0,(B63+B59)/B39/IF($B$11="USD",$B$35,1))</f>
        <v>8.06676086956522</v>
      </c>
      <c r="C73" s="6" t="str">
        <f aca="false">"Max you can pay per lead, in "&amp;IF($B$11="USD","USD",B25)</f>
        <v>Max you can pay per lead, in USD</v>
      </c>
    </row>
    <row r="74" customFormat="false" ht="15" hidden="false" customHeight="false" outlineLevel="0" collapsed="false">
      <c r="A74" s="53" t="s">
        <v>139</v>
      </c>
      <c r="B74" s="54" t="n">
        <f aca="false">IF(B41*(1-B34)*(1-B19)=0,0,B8-B63/(B41*(1-B34)*(1-B19)))</f>
        <v>187.965986394558</v>
      </c>
      <c r="C74" s="6" t="str">
        <f aca="false">"Lowest average order value with zero profit, in "&amp;B25</f>
        <v>Lowest average order value with zero profit, in MAD</v>
      </c>
    </row>
    <row r="75" customFormat="false" ht="15" hidden="false" customHeight="false" outlineLevel="0" collapsed="false">
      <c r="A75" s="53" t="s">
        <v>140</v>
      </c>
      <c r="B75" s="55" t="n">
        <f aca="false">IF(T20&gt;=0,"n/a",IF(-T19/T20&lt;0,"Loss even at 0%",IF(-T19/T20&gt;1,"Profit at any rate",-T19/T20)))</f>
        <v>0.759831996945399</v>
      </c>
      <c r="C75" s="6" t="s">
        <v>141</v>
      </c>
    </row>
  </sheetData>
  <mergeCells count="9">
    <mergeCell ref="A1:C1"/>
    <mergeCell ref="E2:F2"/>
    <mergeCell ref="A4:C4"/>
    <mergeCell ref="E4:Q4"/>
    <mergeCell ref="E14:L14"/>
    <mergeCell ref="A22:C22"/>
    <mergeCell ref="A38:C38"/>
    <mergeCell ref="A46:C46"/>
    <mergeCell ref="A65:C65"/>
  </mergeCells>
  <conditionalFormatting sqref="A63:B63">
    <cfRule type="expression" priority="2" aboveAverage="0" equalAverage="0" bottom="0" percent="0" rank="0" text="" dxfId="0">
      <formula>$B$63&lt;0</formula>
    </cfRule>
  </conditionalFormatting>
  <conditionalFormatting sqref="N7:O10">
    <cfRule type="cellIs" priority="3" operator="lessThan" aboveAverage="0" equalAverage="0" bottom="0" percent="0" rank="0" text="" dxfId="1">
      <formula>0</formula>
    </cfRule>
  </conditionalFormatting>
  <conditionalFormatting sqref="Q7:Q10">
    <cfRule type="cellIs" priority="4" operator="lessThan" aboveAverage="0" equalAverage="0" bottom="0" percent="0" rank="0" text="" dxfId="1">
      <formula>0</formula>
    </cfRule>
  </conditionalFormatting>
  <conditionalFormatting sqref="E11">
    <cfRule type="expression" priority="5" aboveAverage="0" equalAverage="0" bottom="0" percent="0" rank="0" text="" dxfId="2">
      <formula>ROUND($L$10,4)&lt;&gt;1</formula>
    </cfRule>
  </conditionalFormatting>
  <conditionalFormatting sqref="F17:L23">
    <cfRule type="colorScale" priority="6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dataValidations count="5">
    <dataValidation allowBlank="false" errorStyle="stop" operator="between" showDropDown="false" showErrorMessage="false" showInputMessage="false" sqref="B5" type="list">
      <formula1>'COD Network Fees'!$A$5:$A$23</formula1>
      <formula2>0</formula2>
    </dataValidation>
    <dataValidation allowBlank="false" errorStyle="stop" operator="between" showDropDown="false" showErrorMessage="false" showInputMessage="false" sqref="B6" type="list">
      <formula1>"Gadget,Cosmetic"</formula1>
      <formula2>0</formula2>
    </dataValidation>
    <dataValidation allowBlank="false" errorStyle="stop" operator="between" showDropDown="false" showErrorMessage="false" showInputMessage="false" sqref="B7" type="list">
      <formula1>"Yes,No"</formula1>
      <formula2>0</formula2>
    </dataValidation>
    <dataValidation allowBlank="false" errorStyle="stop" operator="between" showDropDown="false" showErrorMessage="false" showInputMessage="false" sqref="B11" type="list">
      <formula1>"USD,Market currency"</formula1>
      <formula2>0</formula2>
    </dataValidation>
    <dataValidation allowBlank="false" error="Enter a percentage between 0% and 100%" errorStyle="stop" operator="between" showDropDown="false" showErrorMessage="false" showInputMessage="false" sqref="L7:L9 B13:B15 B1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9"/>
    <col collapsed="false" customWidth="true" hidden="false" outlineLevel="0" max="14" min="12" style="0" width="11"/>
    <col collapsed="false" customWidth="true" hidden="false" outlineLevel="0" max="15" min="15" style="0" width="10"/>
    <col collapsed="false" customWidth="true" hidden="false" outlineLevel="0" max="16" min="16" style="0" width="15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9"/>
    <col collapsed="false" customWidth="true" hidden="false" outlineLevel="0" max="21" min="21" style="0" width="13"/>
    <col collapsed="false" customWidth="true" hidden="false" outlineLevel="0" max="24" min="22" style="0" width="10"/>
    <col collapsed="false" customWidth="true" hidden="false" outlineLevel="0" max="25" min="25" style="0" width="12"/>
    <col collapsed="false" customWidth="true" hidden="false" outlineLevel="0" max="26" min="26" style="0" width="11"/>
    <col collapsed="false" customWidth="true" hidden="false" outlineLevel="0" max="28" min="27" style="0" width="12"/>
    <col collapsed="false" customWidth="true" hidden="false" outlineLevel="0" max="30" min="29" style="0" width="11"/>
    <col collapsed="false" customWidth="true" hidden="false" outlineLevel="0" max="31" min="31" style="0" width="10"/>
    <col collapsed="false" customWidth="true" hidden="false" outlineLevel="0" max="32" min="32" style="0" width="11"/>
    <col collapsed="false" customWidth="true" hidden="false" outlineLevel="0" max="33" min="33" style="0" width="13"/>
    <col collapsed="false" customWidth="true" hidden="false" outlineLevel="0" max="34" min="34" style="0" width="11"/>
    <col collapsed="false" customWidth="true" hidden="false" outlineLevel="0" max="36" min="35" style="0" width="9"/>
    <col collapsed="false" customWidth="true" hidden="false" outlineLevel="0" max="38" min="37" style="0" width="12"/>
    <col collapsed="false" customWidth="true" hidden="false" outlineLevel="0" max="39" min="39" style="0" width="6"/>
  </cols>
  <sheetData>
    <row r="1" customFormat="false" ht="17.35" hidden="false" customHeight="false" outlineLevel="0" collapsed="false">
      <c r="A1" s="56" t="s">
        <v>142</v>
      </c>
    </row>
    <row r="2" customFormat="false" ht="15" hidden="false" customHeight="false" outlineLevel="0" collapsed="false">
      <c r="A2" s="6" t="s">
        <v>143</v>
      </c>
    </row>
    <row r="3" customFormat="false" ht="19.5" hidden="false" customHeight="true" outlineLevel="0" collapsed="false">
      <c r="A3" s="2" t="s">
        <v>144</v>
      </c>
      <c r="B3" s="3" t="s">
        <v>145</v>
      </c>
      <c r="C3" s="4" t="s">
        <v>146</v>
      </c>
      <c r="D3" s="5" t="s">
        <v>4</v>
      </c>
      <c r="E3" s="5"/>
    </row>
    <row r="4" customFormat="false" ht="57.75" hidden="false" customHeight="true" outlineLevel="0" collapsed="false">
      <c r="A4" s="10" t="s">
        <v>147</v>
      </c>
      <c r="B4" s="10" t="s">
        <v>148</v>
      </c>
      <c r="C4" s="10" t="s">
        <v>149</v>
      </c>
      <c r="D4" s="10" t="s">
        <v>150</v>
      </c>
      <c r="E4" s="10" t="s">
        <v>151</v>
      </c>
      <c r="F4" s="10" t="s">
        <v>152</v>
      </c>
      <c r="G4" s="10" t="s">
        <v>153</v>
      </c>
      <c r="H4" s="10" t="s">
        <v>154</v>
      </c>
      <c r="I4" s="10" t="s">
        <v>155</v>
      </c>
      <c r="J4" s="10" t="s">
        <v>156</v>
      </c>
      <c r="K4" s="10" t="s">
        <v>157</v>
      </c>
      <c r="L4" s="10" t="s">
        <v>158</v>
      </c>
      <c r="M4" s="10" t="s">
        <v>159</v>
      </c>
      <c r="N4" s="10" t="s">
        <v>160</v>
      </c>
      <c r="O4" s="10" t="s">
        <v>161</v>
      </c>
      <c r="P4" s="10" t="s">
        <v>162</v>
      </c>
      <c r="Q4" s="10" t="s">
        <v>102</v>
      </c>
      <c r="R4" s="10" t="s">
        <v>51</v>
      </c>
      <c r="S4" s="10" t="s">
        <v>54</v>
      </c>
      <c r="T4" s="11" t="s">
        <v>84</v>
      </c>
      <c r="U4" s="12" t="s">
        <v>163</v>
      </c>
      <c r="V4" s="11" t="s">
        <v>164</v>
      </c>
      <c r="W4" s="11" t="s">
        <v>165</v>
      </c>
      <c r="X4" s="11" t="s">
        <v>166</v>
      </c>
      <c r="Y4" s="12" t="s">
        <v>167</v>
      </c>
      <c r="Z4" s="13" t="s">
        <v>124</v>
      </c>
      <c r="AA4" s="13" t="s">
        <v>168</v>
      </c>
      <c r="AB4" s="11" t="s">
        <v>113</v>
      </c>
      <c r="AC4" s="11" t="s">
        <v>169</v>
      </c>
      <c r="AD4" s="11" t="s">
        <v>117</v>
      </c>
      <c r="AE4" s="11" t="s">
        <v>119</v>
      </c>
      <c r="AF4" s="11" t="s">
        <v>170</v>
      </c>
      <c r="AG4" s="12" t="s">
        <v>130</v>
      </c>
      <c r="AH4" s="12" t="s">
        <v>171</v>
      </c>
      <c r="AI4" s="12" t="s">
        <v>172</v>
      </c>
      <c r="AJ4" s="12" t="s">
        <v>173</v>
      </c>
      <c r="AK4" s="14" t="s">
        <v>174</v>
      </c>
      <c r="AL4" s="12" t="s">
        <v>175</v>
      </c>
      <c r="AM4" s="11" t="s">
        <v>176</v>
      </c>
    </row>
    <row r="5" customFormat="false" ht="15" hidden="false" customHeight="false" outlineLevel="0" collapsed="false">
      <c r="A5" s="15" t="s">
        <v>177</v>
      </c>
      <c r="B5" s="15" t="s">
        <v>9</v>
      </c>
      <c r="C5" s="15" t="s">
        <v>14</v>
      </c>
      <c r="D5" s="15" t="s">
        <v>34</v>
      </c>
      <c r="E5" s="18" t="n">
        <v>249</v>
      </c>
      <c r="F5" s="18" t="n">
        <v>349</v>
      </c>
      <c r="G5" s="18" t="n">
        <v>449</v>
      </c>
      <c r="H5" s="19" t="n">
        <v>30</v>
      </c>
      <c r="I5" s="19" t="n">
        <v>0</v>
      </c>
      <c r="J5" s="19" t="n">
        <v>0</v>
      </c>
      <c r="K5" s="21" t="n">
        <v>0.5</v>
      </c>
      <c r="L5" s="21" t="n">
        <v>0.3</v>
      </c>
      <c r="M5" s="21" t="n">
        <v>0.2</v>
      </c>
      <c r="N5" s="18" t="n">
        <v>40</v>
      </c>
      <c r="O5" s="18" t="n">
        <v>2</v>
      </c>
      <c r="P5" s="15" t="s">
        <v>46</v>
      </c>
      <c r="Q5" s="57" t="n">
        <v>1000</v>
      </c>
      <c r="R5" s="21" t="n">
        <v>0.6</v>
      </c>
      <c r="S5" s="21" t="n">
        <v>0.35</v>
      </c>
      <c r="T5" s="58" t="str">
        <f aca="false">IF($AM5="","",INDEX('COD Network Fees'!$C$5:$C$23,$AM5))</f>
        <v>MAD</v>
      </c>
      <c r="U5" s="20" t="n">
        <f aca="false">IF($AM5="","",IF(($K5+$L5+$M5)=0,0,(($E5+$H5)*$K5+($F5+$I5)*$L5+($G5+$J5)*$M5)/($K5+$L5+$M5)))</f>
        <v>334</v>
      </c>
      <c r="V5" s="59" t="n">
        <f aca="false">IF($AM5="","",IF(($K5+$L5+$M5)=0,0,(Calculator!$H$7*$K5+Calculator!$H$8*$L5+Calculator!$H$9*$M5)/($K5+$L5+$M5)))</f>
        <v>1.7</v>
      </c>
      <c r="W5" s="36" t="n">
        <f aca="false">IF($AM5="","",$Q5*$R5)</f>
        <v>600</v>
      </c>
      <c r="X5" s="36" t="n">
        <f aca="false">IF($AM5="","",$W5*(1-$S5))</f>
        <v>390</v>
      </c>
      <c r="Y5" s="23" t="n">
        <f aca="false">IF($AM5="","",$X5*$U5)</f>
        <v>130260</v>
      </c>
      <c r="Z5" s="60" t="n">
        <f aca="false">IF($AM5="","",$Q5*$O5*IF($P5="USD",INDEX('COD Network Fees'!$B$27:$B$29,MATCH($T5,'COD Network Fees'!$A$27:$A$29,0)),1))</f>
        <v>18400</v>
      </c>
      <c r="AA5" s="60" t="n">
        <f aca="false">IF($AM5="","",$X5*$V5*$N5)</f>
        <v>26520</v>
      </c>
      <c r="AB5" s="36" t="n">
        <f aca="false">IF($AM5="","",IF($D5="Yes",1,0)*($Q5*IF($C5="Cosmetic",INDEX('COD Network Fees'!$G$5:$G$23,$AM5),INDEX('COD Network Fees'!$D$5:$D$23,$AM5))+$W5*IF($C5="Cosmetic",INDEX('COD Network Fees'!$H$5:$H$23,$AM5),INDEX('COD Network Fees'!$E$5:$E$23,$AM5))+$X5*IF($C5="Cosmetic",INDEX('COD Network Fees'!$I$5:$I$23,$AM5),INDEX('COD Network Fees'!$F$5:$F$23,$AM5))))</f>
        <v>7130</v>
      </c>
      <c r="AC5" s="36" t="n">
        <f aca="false">IF($AM5="","",$X5*IF(AND($D5="No",INDEX('COD Network Fees'!$M$5:$M$23,$AM5)&lt;&gt;""),INDEX('COD Network Fees'!$M$5:$M$23,$AM5),INDEX('COD Network Fees'!$K$5:$K$23,$AM5))+($W5-$X5)*IF(AND($D5="No",INDEX('COD Network Fees'!$M$5:$M$23,$AM5)&lt;&gt;""),INDEX('COD Network Fees'!$M$5:$M$23,$AM5),INDEX('COD Network Fees'!$L$5:$L$23,$AM5)))</f>
        <v>15540</v>
      </c>
      <c r="AD5" s="36" t="n">
        <f aca="false">IF($AM5="","",$W5*INDEX('COD Network Fees'!$N$5:$N$23,$AM5))</f>
        <v>4800</v>
      </c>
      <c r="AE5" s="36" t="n">
        <f aca="false">IF($AM5="","",$Y5*INDEX('COD Network Fees'!$P$5:$P$23,$AM5))</f>
        <v>0</v>
      </c>
      <c r="AF5" s="36" t="n">
        <f aca="false">IF($AM5="","",($Y5-$AB5-$AC5-$AD5-$AE5)*Calculator!$B$19)</f>
        <v>2055.8</v>
      </c>
      <c r="AG5" s="23" t="n">
        <f aca="false">IF($AM5="","",$Y5-$Z5-$AA5-$AB5-$AC5-$AD5-$AE5-$AF5)</f>
        <v>55814.2</v>
      </c>
      <c r="AH5" s="20" t="n">
        <f aca="false">IF($AM5="","",IF($X5=0,0,$AG5/$X5))</f>
        <v>143.113333333333</v>
      </c>
      <c r="AI5" s="61" t="n">
        <f aca="false">IF($AM5="","",IF($Y5=0,0,$AG5/$Y5))</f>
        <v>0.428483033932136</v>
      </c>
      <c r="AJ5" s="61" t="n">
        <f aca="false">IF($AM5="","",IF(($Z5+$AA5)=0,0,$AG5/($Z5+$AA5)))</f>
        <v>1.24252448797863</v>
      </c>
      <c r="AK5" s="24" t="n">
        <f aca="false">IF($AM5="","",IF($Q5=0,0,($AG5+$Z5)/$Q5/IF($P5="USD",INDEX('COD Network Fees'!$B$27:$B$29,MATCH($T5,'COD Network Fees'!$A$27:$A$29,0)),1)))</f>
        <v>8.06676086956522</v>
      </c>
      <c r="AL5" s="20" t="n">
        <f aca="false">IF($AM5="","",IF($X5*$V5=0,0,$AG5/($X5*$V5)))</f>
        <v>84.1843137254902</v>
      </c>
      <c r="AM5" s="62" t="n">
        <f aca="false">IF($B5="","",MATCH($B5,'COD Network Fees'!$A$5:$A$23,0))</f>
        <v>7</v>
      </c>
    </row>
    <row r="6" customFormat="false" ht="15" hidden="false" customHeight="false" outlineLevel="0" collapsed="false">
      <c r="A6" s="15" t="s">
        <v>178</v>
      </c>
      <c r="B6" s="15" t="s">
        <v>179</v>
      </c>
      <c r="C6" s="15" t="s">
        <v>180</v>
      </c>
      <c r="D6" s="15" t="s">
        <v>34</v>
      </c>
      <c r="E6" s="18" t="n">
        <v>39</v>
      </c>
      <c r="F6" s="18" t="n">
        <v>59</v>
      </c>
      <c r="G6" s="18" t="n">
        <v>79</v>
      </c>
      <c r="H6" s="19" t="n">
        <v>0</v>
      </c>
      <c r="I6" s="19" t="n">
        <v>0</v>
      </c>
      <c r="J6" s="19" t="n">
        <v>0</v>
      </c>
      <c r="K6" s="21" t="n">
        <v>0.6</v>
      </c>
      <c r="L6" s="21" t="n">
        <v>0.25</v>
      </c>
      <c r="M6" s="21" t="n">
        <v>0.15</v>
      </c>
      <c r="N6" s="18" t="n">
        <v>6</v>
      </c>
      <c r="O6" s="18" t="n">
        <v>3</v>
      </c>
      <c r="P6" s="15" t="s">
        <v>46</v>
      </c>
      <c r="Q6" s="57" t="n">
        <v>500</v>
      </c>
      <c r="R6" s="21" t="n">
        <v>0.55</v>
      </c>
      <c r="S6" s="21" t="n">
        <v>0.3</v>
      </c>
      <c r="T6" s="58" t="str">
        <f aca="false">IF($AM6="","",INDEX('COD Network Fees'!$C$5:$C$23,$AM6))</f>
        <v>USD</v>
      </c>
      <c r="U6" s="20" t="n">
        <f aca="false">IF($AM6="","",IF(($K6+$L6+$M6)=0,0,(($E6+$H6)*$K6+($F6+$I6)*$L6+($G6+$J6)*$M6)/($K6+$L6+$M6)))</f>
        <v>50</v>
      </c>
      <c r="V6" s="59" t="n">
        <f aca="false">IF($AM6="","",IF(($K6+$L6+$M6)=0,0,(Calculator!$H$7*$K6+Calculator!$H$8*$L6+Calculator!$H$9*$M6)/($K6+$L6+$M6)))</f>
        <v>1.55</v>
      </c>
      <c r="W6" s="36" t="n">
        <f aca="false">IF($AM6="","",$Q6*$R6)</f>
        <v>275</v>
      </c>
      <c r="X6" s="36" t="n">
        <f aca="false">IF($AM6="","",$W6*(1-$S6))</f>
        <v>192.5</v>
      </c>
      <c r="Y6" s="23" t="n">
        <f aca="false">IF($AM6="","",$X6*$U6)</f>
        <v>9625</v>
      </c>
      <c r="Z6" s="60" t="n">
        <f aca="false">IF($AM6="","",$Q6*$O6*IF($P6="USD",INDEX('COD Network Fees'!$B$27:$B$29,MATCH($T6,'COD Network Fees'!$A$27:$A$29,0)),1))</f>
        <v>1500</v>
      </c>
      <c r="AA6" s="60" t="n">
        <f aca="false">IF($AM6="","",$X6*$V6*$N6)</f>
        <v>1790.25</v>
      </c>
      <c r="AB6" s="36" t="n">
        <f aca="false">IF($AM6="","",IF($D6="Yes",1,0)*($Q6*IF($C6="Cosmetic",INDEX('COD Network Fees'!$G$5:$G$23,$AM6),INDEX('COD Network Fees'!$D$5:$D$23,$AM6))+$W6*IF($C6="Cosmetic",INDEX('COD Network Fees'!$H$5:$H$23,$AM6),INDEX('COD Network Fees'!$E$5:$E$23,$AM6))+$X6*IF($C6="Cosmetic",INDEX('COD Network Fees'!$I$5:$I$23,$AM6),INDEX('COD Network Fees'!$F$5:$F$23,$AM6))))</f>
        <v>1377.5</v>
      </c>
      <c r="AC6" s="36" t="n">
        <f aca="false">IF($AM6="","",$X6*IF(AND($D6="No",INDEX('COD Network Fees'!$M$5:$M$23,$AM6)&lt;&gt;""),INDEX('COD Network Fees'!$M$5:$M$23,$AM6),INDEX('COD Network Fees'!$K$5:$K$23,$AM6))+($W6-$X6)*IF(AND($D6="No",INDEX('COD Network Fees'!$M$5:$M$23,$AM6)&lt;&gt;""),INDEX('COD Network Fees'!$M$5:$M$23,$AM6),INDEX('COD Network Fees'!$L$5:$L$23,$AM6)))</f>
        <v>1207.25</v>
      </c>
      <c r="AD6" s="36" t="n">
        <f aca="false">IF($AM6="","",$W6*INDEX('COD Network Fees'!$N$5:$N$23,$AM6))</f>
        <v>0</v>
      </c>
      <c r="AE6" s="36" t="n">
        <f aca="false">IF($AM6="","",$Y6*INDEX('COD Network Fees'!$P$5:$P$23,$AM6))</f>
        <v>481.25</v>
      </c>
      <c r="AF6" s="36" t="n">
        <f aca="false">IF($AM6="","",($Y6-$AB6-$AC6-$AD6-$AE6)*Calculator!$B$19)</f>
        <v>131.18</v>
      </c>
      <c r="AG6" s="23" t="n">
        <f aca="false">IF($AM6="","",$Y6-$Z6-$AA6-$AB6-$AC6-$AD6-$AE6-$AF6)</f>
        <v>3137.57</v>
      </c>
      <c r="AH6" s="20" t="n">
        <f aca="false">IF($AM6="","",IF($X6=0,0,$AG6/$X6))</f>
        <v>16.2990649350649</v>
      </c>
      <c r="AI6" s="61" t="n">
        <f aca="false">IF($AM6="","",IF($Y6=0,0,$AG6/$Y6))</f>
        <v>0.325981298701299</v>
      </c>
      <c r="AJ6" s="61" t="n">
        <f aca="false">IF($AM6="","",IF(($Z6+$AA6)=0,0,$AG6/($Z6+$AA6)))</f>
        <v>0.953596231289416</v>
      </c>
      <c r="AK6" s="24" t="n">
        <f aca="false">IF($AM6="","",IF($Q6=0,0,($AG6+$Z6)/$Q6/IF($P6="USD",INDEX('COD Network Fees'!$B$27:$B$29,MATCH($T6,'COD Network Fees'!$A$27:$A$29,0)),1)))</f>
        <v>9.27514</v>
      </c>
      <c r="AL6" s="20" t="n">
        <f aca="false">IF($AM6="","",IF($X6*$V6=0,0,$AG6/($X6*$V6)))</f>
        <v>10.515525764558</v>
      </c>
      <c r="AM6" s="62" t="n">
        <f aca="false">IF($B6="","",MATCH($B6,'COD Network Fees'!$A$5:$A$23,0))</f>
        <v>2</v>
      </c>
    </row>
    <row r="7" customFormat="false" ht="15" hidden="false" customHeight="false" outlineLevel="0" collapsed="false">
      <c r="A7" s="15" t="s">
        <v>181</v>
      </c>
      <c r="B7" s="15" t="s">
        <v>182</v>
      </c>
      <c r="C7" s="15" t="s">
        <v>180</v>
      </c>
      <c r="D7" s="15" t="s">
        <v>34</v>
      </c>
      <c r="E7" s="18" t="n">
        <v>34.9</v>
      </c>
      <c r="F7" s="18" t="n">
        <v>49.9</v>
      </c>
      <c r="G7" s="18" t="n">
        <v>64.9</v>
      </c>
      <c r="H7" s="19" t="n">
        <v>4.99</v>
      </c>
      <c r="I7" s="19" t="n">
        <v>0</v>
      </c>
      <c r="J7" s="19" t="n">
        <v>0</v>
      </c>
      <c r="K7" s="21" t="n">
        <v>0.5</v>
      </c>
      <c r="L7" s="21" t="n">
        <v>0.3</v>
      </c>
      <c r="M7" s="21" t="n">
        <v>0.2</v>
      </c>
      <c r="N7" s="18" t="n">
        <v>5</v>
      </c>
      <c r="O7" s="18" t="n">
        <v>2.5</v>
      </c>
      <c r="P7" s="15" t="s">
        <v>183</v>
      </c>
      <c r="Q7" s="57" t="n">
        <v>500</v>
      </c>
      <c r="R7" s="21" t="n">
        <v>0.65</v>
      </c>
      <c r="S7" s="21" t="n">
        <v>0.25</v>
      </c>
      <c r="T7" s="58" t="str">
        <f aca="false">IF($AM7="","",INDEX('COD Network Fees'!$C$5:$C$23,$AM7))</f>
        <v>EUR</v>
      </c>
      <c r="U7" s="20" t="n">
        <f aca="false">IF($AM7="","",IF(($K7+$L7+$M7)=0,0,(($E7+$H7)*$K7+($F7+$I7)*$L7+($G7+$J7)*$M7)/($K7+$L7+$M7)))</f>
        <v>47.895</v>
      </c>
      <c r="V7" s="59" t="n">
        <f aca="false">IF($AM7="","",IF(($K7+$L7+$M7)=0,0,(Calculator!$H$7*$K7+Calculator!$H$8*$L7+Calculator!$H$9*$M7)/($K7+$L7+$M7)))</f>
        <v>1.7</v>
      </c>
      <c r="W7" s="36" t="n">
        <f aca="false">IF($AM7="","",$Q7*$R7)</f>
        <v>325</v>
      </c>
      <c r="X7" s="36" t="n">
        <f aca="false">IF($AM7="","",$W7*(1-$S7))</f>
        <v>243.75</v>
      </c>
      <c r="Y7" s="23" t="n">
        <f aca="false">IF($AM7="","",$X7*$U7)</f>
        <v>11674.40625</v>
      </c>
      <c r="Z7" s="60" t="n">
        <f aca="false">IF($AM7="","",$Q7*$O7*IF($P7="USD",INDEX('COD Network Fees'!$B$27:$B$29,MATCH($T7,'COD Network Fees'!$A$27:$A$29,0)),1))</f>
        <v>1250</v>
      </c>
      <c r="AA7" s="60" t="n">
        <f aca="false">IF($AM7="","",$X7*$V7*$N7)</f>
        <v>2071.875</v>
      </c>
      <c r="AB7" s="36" t="n">
        <f aca="false">IF($AM7="","",IF($D7="Yes",1,0)*($Q7*IF($C7="Cosmetic",INDEX('COD Network Fees'!$G$5:$G$23,$AM7),INDEX('COD Network Fees'!$D$5:$D$23,$AM7))+$W7*IF($C7="Cosmetic",INDEX('COD Network Fees'!$H$5:$H$23,$AM7),INDEX('COD Network Fees'!$E$5:$E$23,$AM7))+$X7*IF($C7="Cosmetic",INDEX('COD Network Fees'!$I$5:$I$23,$AM7),INDEX('COD Network Fees'!$F$5:$F$23,$AM7))))</f>
        <v>1062.5</v>
      </c>
      <c r="AC7" s="36" t="n">
        <f aca="false">IF($AM7="","",$X7*IF(AND($D7="No",INDEX('COD Network Fees'!$M$5:$M$23,$AM7)&lt;&gt;""),INDEX('COD Network Fees'!$M$5:$M$23,$AM7),INDEX('COD Network Fees'!$K$5:$K$23,$AM7))+($W7-$X7)*IF(AND($D7="No",INDEX('COD Network Fees'!$M$5:$M$23,$AM7)&lt;&gt;""),INDEX('COD Network Fees'!$M$5:$M$23,$AM7),INDEX('COD Network Fees'!$L$5:$L$23,$AM7)))</f>
        <v>2515.5</v>
      </c>
      <c r="AD7" s="36" t="n">
        <f aca="false">IF($AM7="","",$W7*INDEX('COD Network Fees'!$N$5:$N$23,$AM7))</f>
        <v>0</v>
      </c>
      <c r="AE7" s="36" t="n">
        <f aca="false">IF($AM7="","",$Y7*INDEX('COD Network Fees'!$P$5:$P$23,$AM7))</f>
        <v>583.7203125</v>
      </c>
      <c r="AF7" s="36" t="n">
        <f aca="false">IF($AM7="","",($Y7-$AB7-$AC7-$AD7-$AE7)*Calculator!$B$19)</f>
        <v>150.25371875</v>
      </c>
      <c r="AG7" s="23" t="n">
        <f aca="false">IF($AM7="","",$Y7-$Z7-$AA7-$AB7-$AC7-$AD7-$AE7-$AF7)</f>
        <v>4040.55721875</v>
      </c>
      <c r="AH7" s="20" t="n">
        <f aca="false">IF($AM7="","",IF($X7=0,0,$AG7/$X7))</f>
        <v>16.576645</v>
      </c>
      <c r="AI7" s="61" t="n">
        <f aca="false">IF($AM7="","",IF($Y7=0,0,$AG7/$Y7))</f>
        <v>0.346103873055643</v>
      </c>
      <c r="AJ7" s="61" t="n">
        <f aca="false">IF($AM7="","",IF(($Z7+$AA7)=0,0,$AG7/($Z7+$AA7)))</f>
        <v>1.21634836312324</v>
      </c>
      <c r="AK7" s="24" t="n">
        <f aca="false">IF($AM7="","",IF($Q7=0,0,($AG7+$Z7)/$Q7/IF($P7="USD",INDEX('COD Network Fees'!$B$27:$B$29,MATCH($T7,'COD Network Fees'!$A$27:$A$29,0)),1)))</f>
        <v>10.5811144375</v>
      </c>
      <c r="AL7" s="20" t="n">
        <f aca="false">IF($AM7="","",IF($X7*$V7=0,0,$AG7/($X7*$V7)))</f>
        <v>9.75096764705882</v>
      </c>
      <c r="AM7" s="62" t="n">
        <f aca="false">IF($B7="","",MATCH($B7,'COD Network Fees'!$A$5:$A$23,0))</f>
        <v>8</v>
      </c>
    </row>
    <row r="8" customFormat="false" ht="15" hidden="false" customHeight="false" outlineLevel="0" collapsed="false">
      <c r="A8" s="15"/>
      <c r="B8" s="15"/>
      <c r="C8" s="15"/>
      <c r="D8" s="15"/>
      <c r="E8" s="18"/>
      <c r="F8" s="18"/>
      <c r="G8" s="18"/>
      <c r="H8" s="19"/>
      <c r="I8" s="19"/>
      <c r="J8" s="19"/>
      <c r="K8" s="21"/>
      <c r="L8" s="21"/>
      <c r="M8" s="21"/>
      <c r="N8" s="18"/>
      <c r="O8" s="18"/>
      <c r="P8" s="15"/>
      <c r="Q8" s="57"/>
      <c r="R8" s="21"/>
      <c r="S8" s="21"/>
      <c r="T8" s="58" t="str">
        <f aca="false">IF($AM8="","",INDEX('COD Network Fees'!$C$5:$C$23,$AM8))</f>
        <v/>
      </c>
      <c r="U8" s="20" t="str">
        <f aca="false">IF($AM8="","",IF(($K8+$L8+$M8)=0,0,(($E8+$H8)*$K8+($F8+$I8)*$L8+($G8+$J8)*$M8)/($K8+$L8+$M8)))</f>
        <v/>
      </c>
      <c r="V8" s="59" t="str">
        <f aca="false">IF($AM8="","",IF(($K8+$L8+$M8)=0,0,(Calculator!$H$7*$K8+Calculator!$H$8*$L8+Calculator!$H$9*$M8)/($K8+$L8+$M8)))</f>
        <v/>
      </c>
      <c r="W8" s="36" t="str">
        <f aca="false">IF($AM8="","",$Q8*$R8)</f>
        <v/>
      </c>
      <c r="X8" s="36" t="str">
        <f aca="false">IF($AM8="","",$W8*(1-$S8))</f>
        <v/>
      </c>
      <c r="Y8" s="23" t="str">
        <f aca="false">IF($AM8="","",$X8*$U8)</f>
        <v/>
      </c>
      <c r="Z8" s="60" t="str">
        <f aca="false">IF($AM8="","",$Q8*$O8*IF($P8="USD",INDEX('COD Network Fees'!$B$27:$B$29,MATCH($T8,'COD Network Fees'!$A$27:$A$29,0)),1))</f>
        <v/>
      </c>
      <c r="AA8" s="60" t="str">
        <f aca="false">IF($AM8="","",$X8*$V8*$N8)</f>
        <v/>
      </c>
      <c r="AB8" s="36" t="str">
        <f aca="false">IF($AM8="","",IF($D8="Yes",1,0)*($Q8*IF($C8="Cosmetic",INDEX('COD Network Fees'!$G$5:$G$23,$AM8),INDEX('COD Network Fees'!$D$5:$D$23,$AM8))+$W8*IF($C8="Cosmetic",INDEX('COD Network Fees'!$H$5:$H$23,$AM8),INDEX('COD Network Fees'!$E$5:$E$23,$AM8))+$X8*IF($C8="Cosmetic",INDEX('COD Network Fees'!$I$5:$I$23,$AM8),INDEX('COD Network Fees'!$F$5:$F$23,$AM8))))</f>
        <v/>
      </c>
      <c r="AC8" s="36" t="str">
        <f aca="false">IF($AM8="","",$X8*IF(AND($D8="No",INDEX('COD Network Fees'!$M$5:$M$23,$AM8)&lt;&gt;""),INDEX('COD Network Fees'!$M$5:$M$23,$AM8),INDEX('COD Network Fees'!$K$5:$K$23,$AM8))+($W8-$X8)*IF(AND($D8="No",INDEX('COD Network Fees'!$M$5:$M$23,$AM8)&lt;&gt;""),INDEX('COD Network Fees'!$M$5:$M$23,$AM8),INDEX('COD Network Fees'!$L$5:$L$23,$AM8)))</f>
        <v/>
      </c>
      <c r="AD8" s="36" t="str">
        <f aca="false">IF($AM8="","",$W8*INDEX('COD Network Fees'!$N$5:$N$23,$AM8))</f>
        <v/>
      </c>
      <c r="AE8" s="36" t="str">
        <f aca="false">IF($AM8="","",$Y8*INDEX('COD Network Fees'!$P$5:$P$23,$AM8))</f>
        <v/>
      </c>
      <c r="AF8" s="36" t="str">
        <f aca="false">IF($AM8="","",($Y8-$AB8-$AC8-$AD8-$AE8)*Calculator!$B$19)</f>
        <v/>
      </c>
      <c r="AG8" s="23" t="str">
        <f aca="false">IF($AM8="","",$Y8-$Z8-$AA8-$AB8-$AC8-$AD8-$AE8-$AF8)</f>
        <v/>
      </c>
      <c r="AH8" s="20" t="str">
        <f aca="false">IF($AM8="","",IF($X8=0,0,$AG8/$X8))</f>
        <v/>
      </c>
      <c r="AI8" s="61" t="str">
        <f aca="false">IF($AM8="","",IF($Y8=0,0,$AG8/$Y8))</f>
        <v/>
      </c>
      <c r="AJ8" s="61" t="str">
        <f aca="false">IF($AM8="","",IF(($Z8+$AA8)=0,0,$AG8/($Z8+$AA8)))</f>
        <v/>
      </c>
      <c r="AK8" s="24" t="str">
        <f aca="false">IF($AM8="","",IF($Q8=0,0,($AG8+$Z8)/$Q8/IF($P8="USD",INDEX('COD Network Fees'!$B$27:$B$29,MATCH($T8,'COD Network Fees'!$A$27:$A$29,0)),1)))</f>
        <v/>
      </c>
      <c r="AL8" s="20" t="str">
        <f aca="false">IF($AM8="","",IF($X8*$V8=0,0,$AG8/($X8*$V8)))</f>
        <v/>
      </c>
      <c r="AM8" s="62" t="str">
        <f aca="false">IF($B8="","",MATCH($B8,'COD Network Fees'!$A$5:$A$23,0))</f>
        <v/>
      </c>
    </row>
    <row r="9" customFormat="false" ht="15" hidden="false" customHeight="false" outlineLevel="0" collapsed="false">
      <c r="A9" s="15"/>
      <c r="B9" s="15"/>
      <c r="C9" s="15"/>
      <c r="D9" s="15"/>
      <c r="E9" s="18"/>
      <c r="F9" s="18"/>
      <c r="G9" s="18"/>
      <c r="H9" s="19"/>
      <c r="I9" s="19"/>
      <c r="J9" s="19"/>
      <c r="K9" s="21"/>
      <c r="L9" s="21"/>
      <c r="M9" s="21"/>
      <c r="N9" s="18"/>
      <c r="O9" s="18"/>
      <c r="P9" s="15"/>
      <c r="Q9" s="57"/>
      <c r="R9" s="21"/>
      <c r="S9" s="21"/>
      <c r="T9" s="58" t="str">
        <f aca="false">IF($AM9="","",INDEX('COD Network Fees'!$C$5:$C$23,$AM9))</f>
        <v/>
      </c>
      <c r="U9" s="20" t="str">
        <f aca="false">IF($AM9="","",IF(($K9+$L9+$M9)=0,0,(($E9+$H9)*$K9+($F9+$I9)*$L9+($G9+$J9)*$M9)/($K9+$L9+$M9)))</f>
        <v/>
      </c>
      <c r="V9" s="59" t="str">
        <f aca="false">IF($AM9="","",IF(($K9+$L9+$M9)=0,0,(Calculator!$H$7*$K9+Calculator!$H$8*$L9+Calculator!$H$9*$M9)/($K9+$L9+$M9)))</f>
        <v/>
      </c>
      <c r="W9" s="36" t="str">
        <f aca="false">IF($AM9="","",$Q9*$R9)</f>
        <v/>
      </c>
      <c r="X9" s="36" t="str">
        <f aca="false">IF($AM9="","",$W9*(1-$S9))</f>
        <v/>
      </c>
      <c r="Y9" s="23" t="str">
        <f aca="false">IF($AM9="","",$X9*$U9)</f>
        <v/>
      </c>
      <c r="Z9" s="60" t="str">
        <f aca="false">IF($AM9="","",$Q9*$O9*IF($P9="USD",INDEX('COD Network Fees'!$B$27:$B$29,MATCH($T9,'COD Network Fees'!$A$27:$A$29,0)),1))</f>
        <v/>
      </c>
      <c r="AA9" s="60" t="str">
        <f aca="false">IF($AM9="","",$X9*$V9*$N9)</f>
        <v/>
      </c>
      <c r="AB9" s="36" t="str">
        <f aca="false">IF($AM9="","",IF($D9="Yes",1,0)*($Q9*IF($C9="Cosmetic",INDEX('COD Network Fees'!$G$5:$G$23,$AM9),INDEX('COD Network Fees'!$D$5:$D$23,$AM9))+$W9*IF($C9="Cosmetic",INDEX('COD Network Fees'!$H$5:$H$23,$AM9),INDEX('COD Network Fees'!$E$5:$E$23,$AM9))+$X9*IF($C9="Cosmetic",INDEX('COD Network Fees'!$I$5:$I$23,$AM9),INDEX('COD Network Fees'!$F$5:$F$23,$AM9))))</f>
        <v/>
      </c>
      <c r="AC9" s="36" t="str">
        <f aca="false">IF($AM9="","",$X9*IF(AND($D9="No",INDEX('COD Network Fees'!$M$5:$M$23,$AM9)&lt;&gt;""),INDEX('COD Network Fees'!$M$5:$M$23,$AM9),INDEX('COD Network Fees'!$K$5:$K$23,$AM9))+($W9-$X9)*IF(AND($D9="No",INDEX('COD Network Fees'!$M$5:$M$23,$AM9)&lt;&gt;""),INDEX('COD Network Fees'!$M$5:$M$23,$AM9),INDEX('COD Network Fees'!$L$5:$L$23,$AM9)))</f>
        <v/>
      </c>
      <c r="AD9" s="36" t="str">
        <f aca="false">IF($AM9="","",$W9*INDEX('COD Network Fees'!$N$5:$N$23,$AM9))</f>
        <v/>
      </c>
      <c r="AE9" s="36" t="str">
        <f aca="false">IF($AM9="","",$Y9*INDEX('COD Network Fees'!$P$5:$P$23,$AM9))</f>
        <v/>
      </c>
      <c r="AF9" s="36" t="str">
        <f aca="false">IF($AM9="","",($Y9-$AB9-$AC9-$AD9-$AE9)*Calculator!$B$19)</f>
        <v/>
      </c>
      <c r="AG9" s="23" t="str">
        <f aca="false">IF($AM9="","",$Y9-$Z9-$AA9-$AB9-$AC9-$AD9-$AE9-$AF9)</f>
        <v/>
      </c>
      <c r="AH9" s="20" t="str">
        <f aca="false">IF($AM9="","",IF($X9=0,0,$AG9/$X9))</f>
        <v/>
      </c>
      <c r="AI9" s="61" t="str">
        <f aca="false">IF($AM9="","",IF($Y9=0,0,$AG9/$Y9))</f>
        <v/>
      </c>
      <c r="AJ9" s="61" t="str">
        <f aca="false">IF($AM9="","",IF(($Z9+$AA9)=0,0,$AG9/($Z9+$AA9)))</f>
        <v/>
      </c>
      <c r="AK9" s="24" t="str">
        <f aca="false">IF($AM9="","",IF($Q9=0,0,($AG9+$Z9)/$Q9/IF($P9="USD",INDEX('COD Network Fees'!$B$27:$B$29,MATCH($T9,'COD Network Fees'!$A$27:$A$29,0)),1)))</f>
        <v/>
      </c>
      <c r="AL9" s="20" t="str">
        <f aca="false">IF($AM9="","",IF($X9*$V9=0,0,$AG9/($X9*$V9)))</f>
        <v/>
      </c>
      <c r="AM9" s="62" t="str">
        <f aca="false">IF($B9="","",MATCH($B9,'COD Network Fees'!$A$5:$A$23,0))</f>
        <v/>
      </c>
    </row>
    <row r="10" customFormat="false" ht="15" hidden="false" customHeight="false" outlineLevel="0" collapsed="false">
      <c r="A10" s="15"/>
      <c r="B10" s="15"/>
      <c r="C10" s="15"/>
      <c r="D10" s="15"/>
      <c r="E10" s="18"/>
      <c r="F10" s="18"/>
      <c r="G10" s="18"/>
      <c r="H10" s="19"/>
      <c r="I10" s="19"/>
      <c r="J10" s="19"/>
      <c r="K10" s="21"/>
      <c r="L10" s="21"/>
      <c r="M10" s="21"/>
      <c r="N10" s="18"/>
      <c r="O10" s="18"/>
      <c r="P10" s="15"/>
      <c r="Q10" s="57"/>
      <c r="R10" s="21"/>
      <c r="S10" s="21"/>
      <c r="T10" s="58" t="str">
        <f aca="false">IF($AM10="","",INDEX('COD Network Fees'!$C$5:$C$23,$AM10))</f>
        <v/>
      </c>
      <c r="U10" s="20" t="str">
        <f aca="false">IF($AM10="","",IF(($K10+$L10+$M10)=0,0,(($E10+$H10)*$K10+($F10+$I10)*$L10+($G10+$J10)*$M10)/($K10+$L10+$M10)))</f>
        <v/>
      </c>
      <c r="V10" s="59" t="str">
        <f aca="false">IF($AM10="","",IF(($K10+$L10+$M10)=0,0,(Calculator!$H$7*$K10+Calculator!$H$8*$L10+Calculator!$H$9*$M10)/($K10+$L10+$M10)))</f>
        <v/>
      </c>
      <c r="W10" s="36" t="str">
        <f aca="false">IF($AM10="","",$Q10*$R10)</f>
        <v/>
      </c>
      <c r="X10" s="36" t="str">
        <f aca="false">IF($AM10="","",$W10*(1-$S10))</f>
        <v/>
      </c>
      <c r="Y10" s="23" t="str">
        <f aca="false">IF($AM10="","",$X10*$U10)</f>
        <v/>
      </c>
      <c r="Z10" s="60" t="str">
        <f aca="false">IF($AM10="","",$Q10*$O10*IF($P10="USD",INDEX('COD Network Fees'!$B$27:$B$29,MATCH($T10,'COD Network Fees'!$A$27:$A$29,0)),1))</f>
        <v/>
      </c>
      <c r="AA10" s="60" t="str">
        <f aca="false">IF($AM10="","",$X10*$V10*$N10)</f>
        <v/>
      </c>
      <c r="AB10" s="36" t="str">
        <f aca="false">IF($AM10="","",IF($D10="Yes",1,0)*($Q10*IF($C10="Cosmetic",INDEX('COD Network Fees'!$G$5:$G$23,$AM10),INDEX('COD Network Fees'!$D$5:$D$23,$AM10))+$W10*IF($C10="Cosmetic",INDEX('COD Network Fees'!$H$5:$H$23,$AM10),INDEX('COD Network Fees'!$E$5:$E$23,$AM10))+$X10*IF($C10="Cosmetic",INDEX('COD Network Fees'!$I$5:$I$23,$AM10),INDEX('COD Network Fees'!$F$5:$F$23,$AM10))))</f>
        <v/>
      </c>
      <c r="AC10" s="36" t="str">
        <f aca="false">IF($AM10="","",$X10*IF(AND($D10="No",INDEX('COD Network Fees'!$M$5:$M$23,$AM10)&lt;&gt;""),INDEX('COD Network Fees'!$M$5:$M$23,$AM10),INDEX('COD Network Fees'!$K$5:$K$23,$AM10))+($W10-$X10)*IF(AND($D10="No",INDEX('COD Network Fees'!$M$5:$M$23,$AM10)&lt;&gt;""),INDEX('COD Network Fees'!$M$5:$M$23,$AM10),INDEX('COD Network Fees'!$L$5:$L$23,$AM10)))</f>
        <v/>
      </c>
      <c r="AD10" s="36" t="str">
        <f aca="false">IF($AM10="","",$W10*INDEX('COD Network Fees'!$N$5:$N$23,$AM10))</f>
        <v/>
      </c>
      <c r="AE10" s="36" t="str">
        <f aca="false">IF($AM10="","",$Y10*INDEX('COD Network Fees'!$P$5:$P$23,$AM10))</f>
        <v/>
      </c>
      <c r="AF10" s="36" t="str">
        <f aca="false">IF($AM10="","",($Y10-$AB10-$AC10-$AD10-$AE10)*Calculator!$B$19)</f>
        <v/>
      </c>
      <c r="AG10" s="23" t="str">
        <f aca="false">IF($AM10="","",$Y10-$Z10-$AA10-$AB10-$AC10-$AD10-$AE10-$AF10)</f>
        <v/>
      </c>
      <c r="AH10" s="20" t="str">
        <f aca="false">IF($AM10="","",IF($X10=0,0,$AG10/$X10))</f>
        <v/>
      </c>
      <c r="AI10" s="61" t="str">
        <f aca="false">IF($AM10="","",IF($Y10=0,0,$AG10/$Y10))</f>
        <v/>
      </c>
      <c r="AJ10" s="61" t="str">
        <f aca="false">IF($AM10="","",IF(($Z10+$AA10)=0,0,$AG10/($Z10+$AA10)))</f>
        <v/>
      </c>
      <c r="AK10" s="24" t="str">
        <f aca="false">IF($AM10="","",IF($Q10=0,0,($AG10+$Z10)/$Q10/IF($P10="USD",INDEX('COD Network Fees'!$B$27:$B$29,MATCH($T10,'COD Network Fees'!$A$27:$A$29,0)),1)))</f>
        <v/>
      </c>
      <c r="AL10" s="20" t="str">
        <f aca="false">IF($AM10="","",IF($X10*$V10=0,0,$AG10/($X10*$V10)))</f>
        <v/>
      </c>
      <c r="AM10" s="62" t="str">
        <f aca="false">IF($B10="","",MATCH($B10,'COD Network Fees'!$A$5:$A$23,0))</f>
        <v/>
      </c>
    </row>
    <row r="11" customFormat="false" ht="15" hidden="false" customHeight="false" outlineLevel="0" collapsed="false">
      <c r="A11" s="15"/>
      <c r="B11" s="15"/>
      <c r="C11" s="15"/>
      <c r="D11" s="15"/>
      <c r="E11" s="18"/>
      <c r="F11" s="18"/>
      <c r="G11" s="18"/>
      <c r="H11" s="19"/>
      <c r="I11" s="19"/>
      <c r="J11" s="19"/>
      <c r="K11" s="21"/>
      <c r="L11" s="21"/>
      <c r="M11" s="21"/>
      <c r="N11" s="18"/>
      <c r="O11" s="18"/>
      <c r="P11" s="15"/>
      <c r="Q11" s="57"/>
      <c r="R11" s="21"/>
      <c r="S11" s="21"/>
      <c r="T11" s="58" t="str">
        <f aca="false">IF($AM11="","",INDEX('COD Network Fees'!$C$5:$C$23,$AM11))</f>
        <v/>
      </c>
      <c r="U11" s="20" t="str">
        <f aca="false">IF($AM11="","",IF(($K11+$L11+$M11)=0,0,(($E11+$H11)*$K11+($F11+$I11)*$L11+($G11+$J11)*$M11)/($K11+$L11+$M11)))</f>
        <v/>
      </c>
      <c r="V11" s="59" t="str">
        <f aca="false">IF($AM11="","",IF(($K11+$L11+$M11)=0,0,(Calculator!$H$7*$K11+Calculator!$H$8*$L11+Calculator!$H$9*$M11)/($K11+$L11+$M11)))</f>
        <v/>
      </c>
      <c r="W11" s="36" t="str">
        <f aca="false">IF($AM11="","",$Q11*$R11)</f>
        <v/>
      </c>
      <c r="X11" s="36" t="str">
        <f aca="false">IF($AM11="","",$W11*(1-$S11))</f>
        <v/>
      </c>
      <c r="Y11" s="23" t="str">
        <f aca="false">IF($AM11="","",$X11*$U11)</f>
        <v/>
      </c>
      <c r="Z11" s="60" t="str">
        <f aca="false">IF($AM11="","",$Q11*$O11*IF($P11="USD",INDEX('COD Network Fees'!$B$27:$B$29,MATCH($T11,'COD Network Fees'!$A$27:$A$29,0)),1))</f>
        <v/>
      </c>
      <c r="AA11" s="60" t="str">
        <f aca="false">IF($AM11="","",$X11*$V11*$N11)</f>
        <v/>
      </c>
      <c r="AB11" s="36" t="str">
        <f aca="false">IF($AM11="","",IF($D11="Yes",1,0)*($Q11*IF($C11="Cosmetic",INDEX('COD Network Fees'!$G$5:$G$23,$AM11),INDEX('COD Network Fees'!$D$5:$D$23,$AM11))+$W11*IF($C11="Cosmetic",INDEX('COD Network Fees'!$H$5:$H$23,$AM11),INDEX('COD Network Fees'!$E$5:$E$23,$AM11))+$X11*IF($C11="Cosmetic",INDEX('COD Network Fees'!$I$5:$I$23,$AM11),INDEX('COD Network Fees'!$F$5:$F$23,$AM11))))</f>
        <v/>
      </c>
      <c r="AC11" s="36" t="str">
        <f aca="false">IF($AM11="","",$X11*IF(AND($D11="No",INDEX('COD Network Fees'!$M$5:$M$23,$AM11)&lt;&gt;""),INDEX('COD Network Fees'!$M$5:$M$23,$AM11),INDEX('COD Network Fees'!$K$5:$K$23,$AM11))+($W11-$X11)*IF(AND($D11="No",INDEX('COD Network Fees'!$M$5:$M$23,$AM11)&lt;&gt;""),INDEX('COD Network Fees'!$M$5:$M$23,$AM11),INDEX('COD Network Fees'!$L$5:$L$23,$AM11)))</f>
        <v/>
      </c>
      <c r="AD11" s="36" t="str">
        <f aca="false">IF($AM11="","",$W11*INDEX('COD Network Fees'!$N$5:$N$23,$AM11))</f>
        <v/>
      </c>
      <c r="AE11" s="36" t="str">
        <f aca="false">IF($AM11="","",$Y11*INDEX('COD Network Fees'!$P$5:$P$23,$AM11))</f>
        <v/>
      </c>
      <c r="AF11" s="36" t="str">
        <f aca="false">IF($AM11="","",($Y11-$AB11-$AC11-$AD11-$AE11)*Calculator!$B$19)</f>
        <v/>
      </c>
      <c r="AG11" s="23" t="str">
        <f aca="false">IF($AM11="","",$Y11-$Z11-$AA11-$AB11-$AC11-$AD11-$AE11-$AF11)</f>
        <v/>
      </c>
      <c r="AH11" s="20" t="str">
        <f aca="false">IF($AM11="","",IF($X11=0,0,$AG11/$X11))</f>
        <v/>
      </c>
      <c r="AI11" s="61" t="str">
        <f aca="false">IF($AM11="","",IF($Y11=0,0,$AG11/$Y11))</f>
        <v/>
      </c>
      <c r="AJ11" s="61" t="str">
        <f aca="false">IF($AM11="","",IF(($Z11+$AA11)=0,0,$AG11/($Z11+$AA11)))</f>
        <v/>
      </c>
      <c r="AK11" s="24" t="str">
        <f aca="false">IF($AM11="","",IF($Q11=0,0,($AG11+$Z11)/$Q11/IF($P11="USD",INDEX('COD Network Fees'!$B$27:$B$29,MATCH($T11,'COD Network Fees'!$A$27:$A$29,0)),1)))</f>
        <v/>
      </c>
      <c r="AL11" s="20" t="str">
        <f aca="false">IF($AM11="","",IF($X11*$V11=0,0,$AG11/($X11*$V11)))</f>
        <v/>
      </c>
      <c r="AM11" s="62" t="str">
        <f aca="false">IF($B11="","",MATCH($B11,'COD Network Fees'!$A$5:$A$23,0))</f>
        <v/>
      </c>
    </row>
    <row r="12" customFormat="false" ht="15" hidden="false" customHeight="false" outlineLevel="0" collapsed="false">
      <c r="A12" s="15"/>
      <c r="B12" s="15"/>
      <c r="C12" s="15"/>
      <c r="D12" s="15"/>
      <c r="E12" s="18"/>
      <c r="F12" s="18"/>
      <c r="G12" s="18"/>
      <c r="H12" s="19"/>
      <c r="I12" s="19"/>
      <c r="J12" s="19"/>
      <c r="K12" s="21"/>
      <c r="L12" s="21"/>
      <c r="M12" s="21"/>
      <c r="N12" s="18"/>
      <c r="O12" s="18"/>
      <c r="P12" s="15"/>
      <c r="Q12" s="57"/>
      <c r="R12" s="21"/>
      <c r="S12" s="21"/>
      <c r="T12" s="58" t="str">
        <f aca="false">IF($AM12="","",INDEX('COD Network Fees'!$C$5:$C$23,$AM12))</f>
        <v/>
      </c>
      <c r="U12" s="20" t="str">
        <f aca="false">IF($AM12="","",IF(($K12+$L12+$M12)=0,0,(($E12+$H12)*$K12+($F12+$I12)*$L12+($G12+$J12)*$M12)/($K12+$L12+$M12)))</f>
        <v/>
      </c>
      <c r="V12" s="59" t="str">
        <f aca="false">IF($AM12="","",IF(($K12+$L12+$M12)=0,0,(Calculator!$H$7*$K12+Calculator!$H$8*$L12+Calculator!$H$9*$M12)/($K12+$L12+$M12)))</f>
        <v/>
      </c>
      <c r="W12" s="36" t="str">
        <f aca="false">IF($AM12="","",$Q12*$R12)</f>
        <v/>
      </c>
      <c r="X12" s="36" t="str">
        <f aca="false">IF($AM12="","",$W12*(1-$S12))</f>
        <v/>
      </c>
      <c r="Y12" s="23" t="str">
        <f aca="false">IF($AM12="","",$X12*$U12)</f>
        <v/>
      </c>
      <c r="Z12" s="60" t="str">
        <f aca="false">IF($AM12="","",$Q12*$O12*IF($P12="USD",INDEX('COD Network Fees'!$B$27:$B$29,MATCH($T12,'COD Network Fees'!$A$27:$A$29,0)),1))</f>
        <v/>
      </c>
      <c r="AA12" s="60" t="str">
        <f aca="false">IF($AM12="","",$X12*$V12*$N12)</f>
        <v/>
      </c>
      <c r="AB12" s="36" t="str">
        <f aca="false">IF($AM12="","",IF($D12="Yes",1,0)*($Q12*IF($C12="Cosmetic",INDEX('COD Network Fees'!$G$5:$G$23,$AM12),INDEX('COD Network Fees'!$D$5:$D$23,$AM12))+$W12*IF($C12="Cosmetic",INDEX('COD Network Fees'!$H$5:$H$23,$AM12),INDEX('COD Network Fees'!$E$5:$E$23,$AM12))+$X12*IF($C12="Cosmetic",INDEX('COD Network Fees'!$I$5:$I$23,$AM12),INDEX('COD Network Fees'!$F$5:$F$23,$AM12))))</f>
        <v/>
      </c>
      <c r="AC12" s="36" t="str">
        <f aca="false">IF($AM12="","",$X12*IF(AND($D12="No",INDEX('COD Network Fees'!$M$5:$M$23,$AM12)&lt;&gt;""),INDEX('COD Network Fees'!$M$5:$M$23,$AM12),INDEX('COD Network Fees'!$K$5:$K$23,$AM12))+($W12-$X12)*IF(AND($D12="No",INDEX('COD Network Fees'!$M$5:$M$23,$AM12)&lt;&gt;""),INDEX('COD Network Fees'!$M$5:$M$23,$AM12),INDEX('COD Network Fees'!$L$5:$L$23,$AM12)))</f>
        <v/>
      </c>
      <c r="AD12" s="36" t="str">
        <f aca="false">IF($AM12="","",$W12*INDEX('COD Network Fees'!$N$5:$N$23,$AM12))</f>
        <v/>
      </c>
      <c r="AE12" s="36" t="str">
        <f aca="false">IF($AM12="","",$Y12*INDEX('COD Network Fees'!$P$5:$P$23,$AM12))</f>
        <v/>
      </c>
      <c r="AF12" s="36" t="str">
        <f aca="false">IF($AM12="","",($Y12-$AB12-$AC12-$AD12-$AE12)*Calculator!$B$19)</f>
        <v/>
      </c>
      <c r="AG12" s="23" t="str">
        <f aca="false">IF($AM12="","",$Y12-$Z12-$AA12-$AB12-$AC12-$AD12-$AE12-$AF12)</f>
        <v/>
      </c>
      <c r="AH12" s="20" t="str">
        <f aca="false">IF($AM12="","",IF($X12=0,0,$AG12/$X12))</f>
        <v/>
      </c>
      <c r="AI12" s="61" t="str">
        <f aca="false">IF($AM12="","",IF($Y12=0,0,$AG12/$Y12))</f>
        <v/>
      </c>
      <c r="AJ12" s="61" t="str">
        <f aca="false">IF($AM12="","",IF(($Z12+$AA12)=0,0,$AG12/($Z12+$AA12)))</f>
        <v/>
      </c>
      <c r="AK12" s="24" t="str">
        <f aca="false">IF($AM12="","",IF($Q12=0,0,($AG12+$Z12)/$Q12/IF($P12="USD",INDEX('COD Network Fees'!$B$27:$B$29,MATCH($T12,'COD Network Fees'!$A$27:$A$29,0)),1)))</f>
        <v/>
      </c>
      <c r="AL12" s="20" t="str">
        <f aca="false">IF($AM12="","",IF($X12*$V12=0,0,$AG12/($X12*$V12)))</f>
        <v/>
      </c>
      <c r="AM12" s="62" t="str">
        <f aca="false">IF($B12="","",MATCH($B12,'COD Network Fees'!$A$5:$A$23,0))</f>
        <v/>
      </c>
    </row>
    <row r="13" customFormat="false" ht="15" hidden="false" customHeight="false" outlineLevel="0" collapsed="false">
      <c r="A13" s="15"/>
      <c r="B13" s="15"/>
      <c r="C13" s="15"/>
      <c r="D13" s="15"/>
      <c r="E13" s="18"/>
      <c r="F13" s="18"/>
      <c r="G13" s="18"/>
      <c r="H13" s="19"/>
      <c r="I13" s="19"/>
      <c r="J13" s="19"/>
      <c r="K13" s="21"/>
      <c r="L13" s="21"/>
      <c r="M13" s="21"/>
      <c r="N13" s="18"/>
      <c r="O13" s="18"/>
      <c r="P13" s="15"/>
      <c r="Q13" s="57"/>
      <c r="R13" s="21"/>
      <c r="S13" s="21"/>
      <c r="T13" s="58" t="str">
        <f aca="false">IF($AM13="","",INDEX('COD Network Fees'!$C$5:$C$23,$AM13))</f>
        <v/>
      </c>
      <c r="U13" s="20" t="str">
        <f aca="false">IF($AM13="","",IF(($K13+$L13+$M13)=0,0,(($E13+$H13)*$K13+($F13+$I13)*$L13+($G13+$J13)*$M13)/($K13+$L13+$M13)))</f>
        <v/>
      </c>
      <c r="V13" s="59" t="str">
        <f aca="false">IF($AM13="","",IF(($K13+$L13+$M13)=0,0,(Calculator!$H$7*$K13+Calculator!$H$8*$L13+Calculator!$H$9*$M13)/($K13+$L13+$M13)))</f>
        <v/>
      </c>
      <c r="W13" s="36" t="str">
        <f aca="false">IF($AM13="","",$Q13*$R13)</f>
        <v/>
      </c>
      <c r="X13" s="36" t="str">
        <f aca="false">IF($AM13="","",$W13*(1-$S13))</f>
        <v/>
      </c>
      <c r="Y13" s="23" t="str">
        <f aca="false">IF($AM13="","",$X13*$U13)</f>
        <v/>
      </c>
      <c r="Z13" s="60" t="str">
        <f aca="false">IF($AM13="","",$Q13*$O13*IF($P13="USD",INDEX('COD Network Fees'!$B$27:$B$29,MATCH($T13,'COD Network Fees'!$A$27:$A$29,0)),1))</f>
        <v/>
      </c>
      <c r="AA13" s="60" t="str">
        <f aca="false">IF($AM13="","",$X13*$V13*$N13)</f>
        <v/>
      </c>
      <c r="AB13" s="36" t="str">
        <f aca="false">IF($AM13="","",IF($D13="Yes",1,0)*($Q13*IF($C13="Cosmetic",INDEX('COD Network Fees'!$G$5:$G$23,$AM13),INDEX('COD Network Fees'!$D$5:$D$23,$AM13))+$W13*IF($C13="Cosmetic",INDEX('COD Network Fees'!$H$5:$H$23,$AM13),INDEX('COD Network Fees'!$E$5:$E$23,$AM13))+$X13*IF($C13="Cosmetic",INDEX('COD Network Fees'!$I$5:$I$23,$AM13),INDEX('COD Network Fees'!$F$5:$F$23,$AM13))))</f>
        <v/>
      </c>
      <c r="AC13" s="36" t="str">
        <f aca="false">IF($AM13="","",$X13*IF(AND($D13="No",INDEX('COD Network Fees'!$M$5:$M$23,$AM13)&lt;&gt;""),INDEX('COD Network Fees'!$M$5:$M$23,$AM13),INDEX('COD Network Fees'!$K$5:$K$23,$AM13))+($W13-$X13)*IF(AND($D13="No",INDEX('COD Network Fees'!$M$5:$M$23,$AM13)&lt;&gt;""),INDEX('COD Network Fees'!$M$5:$M$23,$AM13),INDEX('COD Network Fees'!$L$5:$L$23,$AM13)))</f>
        <v/>
      </c>
      <c r="AD13" s="36" t="str">
        <f aca="false">IF($AM13="","",$W13*INDEX('COD Network Fees'!$N$5:$N$23,$AM13))</f>
        <v/>
      </c>
      <c r="AE13" s="36" t="str">
        <f aca="false">IF($AM13="","",$Y13*INDEX('COD Network Fees'!$P$5:$P$23,$AM13))</f>
        <v/>
      </c>
      <c r="AF13" s="36" t="str">
        <f aca="false">IF($AM13="","",($Y13-$AB13-$AC13-$AD13-$AE13)*Calculator!$B$19)</f>
        <v/>
      </c>
      <c r="AG13" s="23" t="str">
        <f aca="false">IF($AM13="","",$Y13-$Z13-$AA13-$AB13-$AC13-$AD13-$AE13-$AF13)</f>
        <v/>
      </c>
      <c r="AH13" s="20" t="str">
        <f aca="false">IF($AM13="","",IF($X13=0,0,$AG13/$X13))</f>
        <v/>
      </c>
      <c r="AI13" s="61" t="str">
        <f aca="false">IF($AM13="","",IF($Y13=0,0,$AG13/$Y13))</f>
        <v/>
      </c>
      <c r="AJ13" s="61" t="str">
        <f aca="false">IF($AM13="","",IF(($Z13+$AA13)=0,0,$AG13/($Z13+$AA13)))</f>
        <v/>
      </c>
      <c r="AK13" s="24" t="str">
        <f aca="false">IF($AM13="","",IF($Q13=0,0,($AG13+$Z13)/$Q13/IF($P13="USD",INDEX('COD Network Fees'!$B$27:$B$29,MATCH($T13,'COD Network Fees'!$A$27:$A$29,0)),1)))</f>
        <v/>
      </c>
      <c r="AL13" s="20" t="str">
        <f aca="false">IF($AM13="","",IF($X13*$V13=0,0,$AG13/($X13*$V13)))</f>
        <v/>
      </c>
      <c r="AM13" s="62" t="str">
        <f aca="false">IF($B13="","",MATCH($B13,'COD Network Fees'!$A$5:$A$23,0))</f>
        <v/>
      </c>
    </row>
    <row r="14" customFormat="false" ht="15" hidden="false" customHeight="false" outlineLevel="0" collapsed="false">
      <c r="A14" s="15"/>
      <c r="B14" s="15"/>
      <c r="C14" s="15"/>
      <c r="D14" s="15"/>
      <c r="E14" s="18"/>
      <c r="F14" s="18"/>
      <c r="G14" s="18"/>
      <c r="H14" s="19"/>
      <c r="I14" s="19"/>
      <c r="J14" s="19"/>
      <c r="K14" s="21"/>
      <c r="L14" s="21"/>
      <c r="M14" s="21"/>
      <c r="N14" s="18"/>
      <c r="O14" s="18"/>
      <c r="P14" s="15"/>
      <c r="Q14" s="57"/>
      <c r="R14" s="21"/>
      <c r="S14" s="21"/>
      <c r="T14" s="58" t="str">
        <f aca="false">IF($AM14="","",INDEX('COD Network Fees'!$C$5:$C$23,$AM14))</f>
        <v/>
      </c>
      <c r="U14" s="20" t="str">
        <f aca="false">IF($AM14="","",IF(($K14+$L14+$M14)=0,0,(($E14+$H14)*$K14+($F14+$I14)*$L14+($G14+$J14)*$M14)/($K14+$L14+$M14)))</f>
        <v/>
      </c>
      <c r="V14" s="59" t="str">
        <f aca="false">IF($AM14="","",IF(($K14+$L14+$M14)=0,0,(Calculator!$H$7*$K14+Calculator!$H$8*$L14+Calculator!$H$9*$M14)/($K14+$L14+$M14)))</f>
        <v/>
      </c>
      <c r="W14" s="36" t="str">
        <f aca="false">IF($AM14="","",$Q14*$R14)</f>
        <v/>
      </c>
      <c r="X14" s="36" t="str">
        <f aca="false">IF($AM14="","",$W14*(1-$S14))</f>
        <v/>
      </c>
      <c r="Y14" s="23" t="str">
        <f aca="false">IF($AM14="","",$X14*$U14)</f>
        <v/>
      </c>
      <c r="Z14" s="60" t="str">
        <f aca="false">IF($AM14="","",$Q14*$O14*IF($P14="USD",INDEX('COD Network Fees'!$B$27:$B$29,MATCH($T14,'COD Network Fees'!$A$27:$A$29,0)),1))</f>
        <v/>
      </c>
      <c r="AA14" s="60" t="str">
        <f aca="false">IF($AM14="","",$X14*$V14*$N14)</f>
        <v/>
      </c>
      <c r="AB14" s="36" t="str">
        <f aca="false">IF($AM14="","",IF($D14="Yes",1,0)*($Q14*IF($C14="Cosmetic",INDEX('COD Network Fees'!$G$5:$G$23,$AM14),INDEX('COD Network Fees'!$D$5:$D$23,$AM14))+$W14*IF($C14="Cosmetic",INDEX('COD Network Fees'!$H$5:$H$23,$AM14),INDEX('COD Network Fees'!$E$5:$E$23,$AM14))+$X14*IF($C14="Cosmetic",INDEX('COD Network Fees'!$I$5:$I$23,$AM14),INDEX('COD Network Fees'!$F$5:$F$23,$AM14))))</f>
        <v/>
      </c>
      <c r="AC14" s="36" t="str">
        <f aca="false">IF($AM14="","",$X14*IF(AND($D14="No",INDEX('COD Network Fees'!$M$5:$M$23,$AM14)&lt;&gt;""),INDEX('COD Network Fees'!$M$5:$M$23,$AM14),INDEX('COD Network Fees'!$K$5:$K$23,$AM14))+($W14-$X14)*IF(AND($D14="No",INDEX('COD Network Fees'!$M$5:$M$23,$AM14)&lt;&gt;""),INDEX('COD Network Fees'!$M$5:$M$23,$AM14),INDEX('COD Network Fees'!$L$5:$L$23,$AM14)))</f>
        <v/>
      </c>
      <c r="AD14" s="36" t="str">
        <f aca="false">IF($AM14="","",$W14*INDEX('COD Network Fees'!$N$5:$N$23,$AM14))</f>
        <v/>
      </c>
      <c r="AE14" s="36" t="str">
        <f aca="false">IF($AM14="","",$Y14*INDEX('COD Network Fees'!$P$5:$P$23,$AM14))</f>
        <v/>
      </c>
      <c r="AF14" s="36" t="str">
        <f aca="false">IF($AM14="","",($Y14-$AB14-$AC14-$AD14-$AE14)*Calculator!$B$19)</f>
        <v/>
      </c>
      <c r="AG14" s="23" t="str">
        <f aca="false">IF($AM14="","",$Y14-$Z14-$AA14-$AB14-$AC14-$AD14-$AE14-$AF14)</f>
        <v/>
      </c>
      <c r="AH14" s="20" t="str">
        <f aca="false">IF($AM14="","",IF($X14=0,0,$AG14/$X14))</f>
        <v/>
      </c>
      <c r="AI14" s="61" t="str">
        <f aca="false">IF($AM14="","",IF($Y14=0,0,$AG14/$Y14))</f>
        <v/>
      </c>
      <c r="AJ14" s="61" t="str">
        <f aca="false">IF($AM14="","",IF(($Z14+$AA14)=0,0,$AG14/($Z14+$AA14)))</f>
        <v/>
      </c>
      <c r="AK14" s="24" t="str">
        <f aca="false">IF($AM14="","",IF($Q14=0,0,($AG14+$Z14)/$Q14/IF($P14="USD",INDEX('COD Network Fees'!$B$27:$B$29,MATCH($T14,'COD Network Fees'!$A$27:$A$29,0)),1)))</f>
        <v/>
      </c>
      <c r="AL14" s="20" t="str">
        <f aca="false">IF($AM14="","",IF($X14*$V14=0,0,$AG14/($X14*$V14)))</f>
        <v/>
      </c>
      <c r="AM14" s="62" t="str">
        <f aca="false">IF($B14="","",MATCH($B14,'COD Network Fees'!$A$5:$A$23,0))</f>
        <v/>
      </c>
    </row>
    <row r="15" customFormat="false" ht="15" hidden="false" customHeight="false" outlineLevel="0" collapsed="false">
      <c r="A15" s="15"/>
      <c r="B15" s="15"/>
      <c r="C15" s="15"/>
      <c r="D15" s="15"/>
      <c r="E15" s="18"/>
      <c r="F15" s="18"/>
      <c r="G15" s="18"/>
      <c r="H15" s="19"/>
      <c r="I15" s="19"/>
      <c r="J15" s="19"/>
      <c r="K15" s="21"/>
      <c r="L15" s="21"/>
      <c r="M15" s="21"/>
      <c r="N15" s="18"/>
      <c r="O15" s="18"/>
      <c r="P15" s="15"/>
      <c r="Q15" s="57"/>
      <c r="R15" s="21"/>
      <c r="S15" s="21"/>
      <c r="T15" s="58" t="str">
        <f aca="false">IF($AM15="","",INDEX('COD Network Fees'!$C$5:$C$23,$AM15))</f>
        <v/>
      </c>
      <c r="U15" s="20" t="str">
        <f aca="false">IF($AM15="","",IF(($K15+$L15+$M15)=0,0,(($E15+$H15)*$K15+($F15+$I15)*$L15+($G15+$J15)*$M15)/($K15+$L15+$M15)))</f>
        <v/>
      </c>
      <c r="V15" s="59" t="str">
        <f aca="false">IF($AM15="","",IF(($K15+$L15+$M15)=0,0,(Calculator!$H$7*$K15+Calculator!$H$8*$L15+Calculator!$H$9*$M15)/($K15+$L15+$M15)))</f>
        <v/>
      </c>
      <c r="W15" s="36" t="str">
        <f aca="false">IF($AM15="","",$Q15*$R15)</f>
        <v/>
      </c>
      <c r="X15" s="36" t="str">
        <f aca="false">IF($AM15="","",$W15*(1-$S15))</f>
        <v/>
      </c>
      <c r="Y15" s="23" t="str">
        <f aca="false">IF($AM15="","",$X15*$U15)</f>
        <v/>
      </c>
      <c r="Z15" s="60" t="str">
        <f aca="false">IF($AM15="","",$Q15*$O15*IF($P15="USD",INDEX('COD Network Fees'!$B$27:$B$29,MATCH($T15,'COD Network Fees'!$A$27:$A$29,0)),1))</f>
        <v/>
      </c>
      <c r="AA15" s="60" t="str">
        <f aca="false">IF($AM15="","",$X15*$V15*$N15)</f>
        <v/>
      </c>
      <c r="AB15" s="36" t="str">
        <f aca="false">IF($AM15="","",IF($D15="Yes",1,0)*($Q15*IF($C15="Cosmetic",INDEX('COD Network Fees'!$G$5:$G$23,$AM15),INDEX('COD Network Fees'!$D$5:$D$23,$AM15))+$W15*IF($C15="Cosmetic",INDEX('COD Network Fees'!$H$5:$H$23,$AM15),INDEX('COD Network Fees'!$E$5:$E$23,$AM15))+$X15*IF($C15="Cosmetic",INDEX('COD Network Fees'!$I$5:$I$23,$AM15),INDEX('COD Network Fees'!$F$5:$F$23,$AM15))))</f>
        <v/>
      </c>
      <c r="AC15" s="36" t="str">
        <f aca="false">IF($AM15="","",$X15*IF(AND($D15="No",INDEX('COD Network Fees'!$M$5:$M$23,$AM15)&lt;&gt;""),INDEX('COD Network Fees'!$M$5:$M$23,$AM15),INDEX('COD Network Fees'!$K$5:$K$23,$AM15))+($W15-$X15)*IF(AND($D15="No",INDEX('COD Network Fees'!$M$5:$M$23,$AM15)&lt;&gt;""),INDEX('COD Network Fees'!$M$5:$M$23,$AM15),INDEX('COD Network Fees'!$L$5:$L$23,$AM15)))</f>
        <v/>
      </c>
      <c r="AD15" s="36" t="str">
        <f aca="false">IF($AM15="","",$W15*INDEX('COD Network Fees'!$N$5:$N$23,$AM15))</f>
        <v/>
      </c>
      <c r="AE15" s="36" t="str">
        <f aca="false">IF($AM15="","",$Y15*INDEX('COD Network Fees'!$P$5:$P$23,$AM15))</f>
        <v/>
      </c>
      <c r="AF15" s="36" t="str">
        <f aca="false">IF($AM15="","",($Y15-$AB15-$AC15-$AD15-$AE15)*Calculator!$B$19)</f>
        <v/>
      </c>
      <c r="AG15" s="23" t="str">
        <f aca="false">IF($AM15="","",$Y15-$Z15-$AA15-$AB15-$AC15-$AD15-$AE15-$AF15)</f>
        <v/>
      </c>
      <c r="AH15" s="20" t="str">
        <f aca="false">IF($AM15="","",IF($X15=0,0,$AG15/$X15))</f>
        <v/>
      </c>
      <c r="AI15" s="61" t="str">
        <f aca="false">IF($AM15="","",IF($Y15=0,0,$AG15/$Y15))</f>
        <v/>
      </c>
      <c r="AJ15" s="61" t="str">
        <f aca="false">IF($AM15="","",IF(($Z15+$AA15)=0,0,$AG15/($Z15+$AA15)))</f>
        <v/>
      </c>
      <c r="AK15" s="24" t="str">
        <f aca="false">IF($AM15="","",IF($Q15=0,0,($AG15+$Z15)/$Q15/IF($P15="USD",INDEX('COD Network Fees'!$B$27:$B$29,MATCH($T15,'COD Network Fees'!$A$27:$A$29,0)),1)))</f>
        <v/>
      </c>
      <c r="AL15" s="20" t="str">
        <f aca="false">IF($AM15="","",IF($X15*$V15=0,0,$AG15/($X15*$V15)))</f>
        <v/>
      </c>
      <c r="AM15" s="62" t="str">
        <f aca="false">IF($B15="","",MATCH($B15,'COD Network Fees'!$A$5:$A$23,0))</f>
        <v/>
      </c>
    </row>
    <row r="16" customFormat="false" ht="15" hidden="false" customHeight="false" outlineLevel="0" collapsed="false">
      <c r="A16" s="15"/>
      <c r="B16" s="15"/>
      <c r="C16" s="15"/>
      <c r="D16" s="15"/>
      <c r="E16" s="18"/>
      <c r="F16" s="18"/>
      <c r="G16" s="18"/>
      <c r="H16" s="19"/>
      <c r="I16" s="19"/>
      <c r="J16" s="19"/>
      <c r="K16" s="21"/>
      <c r="L16" s="21"/>
      <c r="M16" s="21"/>
      <c r="N16" s="18"/>
      <c r="O16" s="18"/>
      <c r="P16" s="15"/>
      <c r="Q16" s="57"/>
      <c r="R16" s="21"/>
      <c r="S16" s="21"/>
      <c r="T16" s="58" t="str">
        <f aca="false">IF($AM16="","",INDEX('COD Network Fees'!$C$5:$C$23,$AM16))</f>
        <v/>
      </c>
      <c r="U16" s="20" t="str">
        <f aca="false">IF($AM16="","",IF(($K16+$L16+$M16)=0,0,(($E16+$H16)*$K16+($F16+$I16)*$L16+($G16+$J16)*$M16)/($K16+$L16+$M16)))</f>
        <v/>
      </c>
      <c r="V16" s="59" t="str">
        <f aca="false">IF($AM16="","",IF(($K16+$L16+$M16)=0,0,(Calculator!$H$7*$K16+Calculator!$H$8*$L16+Calculator!$H$9*$M16)/($K16+$L16+$M16)))</f>
        <v/>
      </c>
      <c r="W16" s="36" t="str">
        <f aca="false">IF($AM16="","",$Q16*$R16)</f>
        <v/>
      </c>
      <c r="X16" s="36" t="str">
        <f aca="false">IF($AM16="","",$W16*(1-$S16))</f>
        <v/>
      </c>
      <c r="Y16" s="23" t="str">
        <f aca="false">IF($AM16="","",$X16*$U16)</f>
        <v/>
      </c>
      <c r="Z16" s="60" t="str">
        <f aca="false">IF($AM16="","",$Q16*$O16*IF($P16="USD",INDEX('COD Network Fees'!$B$27:$B$29,MATCH($T16,'COD Network Fees'!$A$27:$A$29,0)),1))</f>
        <v/>
      </c>
      <c r="AA16" s="60" t="str">
        <f aca="false">IF($AM16="","",$X16*$V16*$N16)</f>
        <v/>
      </c>
      <c r="AB16" s="36" t="str">
        <f aca="false">IF($AM16="","",IF($D16="Yes",1,0)*($Q16*IF($C16="Cosmetic",INDEX('COD Network Fees'!$G$5:$G$23,$AM16),INDEX('COD Network Fees'!$D$5:$D$23,$AM16))+$W16*IF($C16="Cosmetic",INDEX('COD Network Fees'!$H$5:$H$23,$AM16),INDEX('COD Network Fees'!$E$5:$E$23,$AM16))+$X16*IF($C16="Cosmetic",INDEX('COD Network Fees'!$I$5:$I$23,$AM16),INDEX('COD Network Fees'!$F$5:$F$23,$AM16))))</f>
        <v/>
      </c>
      <c r="AC16" s="36" t="str">
        <f aca="false">IF($AM16="","",$X16*IF(AND($D16="No",INDEX('COD Network Fees'!$M$5:$M$23,$AM16)&lt;&gt;""),INDEX('COD Network Fees'!$M$5:$M$23,$AM16),INDEX('COD Network Fees'!$K$5:$K$23,$AM16))+($W16-$X16)*IF(AND($D16="No",INDEX('COD Network Fees'!$M$5:$M$23,$AM16)&lt;&gt;""),INDEX('COD Network Fees'!$M$5:$M$23,$AM16),INDEX('COD Network Fees'!$L$5:$L$23,$AM16)))</f>
        <v/>
      </c>
      <c r="AD16" s="36" t="str">
        <f aca="false">IF($AM16="","",$W16*INDEX('COD Network Fees'!$N$5:$N$23,$AM16))</f>
        <v/>
      </c>
      <c r="AE16" s="36" t="str">
        <f aca="false">IF($AM16="","",$Y16*INDEX('COD Network Fees'!$P$5:$P$23,$AM16))</f>
        <v/>
      </c>
      <c r="AF16" s="36" t="str">
        <f aca="false">IF($AM16="","",($Y16-$AB16-$AC16-$AD16-$AE16)*Calculator!$B$19)</f>
        <v/>
      </c>
      <c r="AG16" s="23" t="str">
        <f aca="false">IF($AM16="","",$Y16-$Z16-$AA16-$AB16-$AC16-$AD16-$AE16-$AF16)</f>
        <v/>
      </c>
      <c r="AH16" s="20" t="str">
        <f aca="false">IF($AM16="","",IF($X16=0,0,$AG16/$X16))</f>
        <v/>
      </c>
      <c r="AI16" s="61" t="str">
        <f aca="false">IF($AM16="","",IF($Y16=0,0,$AG16/$Y16))</f>
        <v/>
      </c>
      <c r="AJ16" s="61" t="str">
        <f aca="false">IF($AM16="","",IF(($Z16+$AA16)=0,0,$AG16/($Z16+$AA16)))</f>
        <v/>
      </c>
      <c r="AK16" s="24" t="str">
        <f aca="false">IF($AM16="","",IF($Q16=0,0,($AG16+$Z16)/$Q16/IF($P16="USD",INDEX('COD Network Fees'!$B$27:$B$29,MATCH($T16,'COD Network Fees'!$A$27:$A$29,0)),1)))</f>
        <v/>
      </c>
      <c r="AL16" s="20" t="str">
        <f aca="false">IF($AM16="","",IF($X16*$V16=0,0,$AG16/($X16*$V16)))</f>
        <v/>
      </c>
      <c r="AM16" s="62" t="str">
        <f aca="false">IF($B16="","",MATCH($B16,'COD Network Fees'!$A$5:$A$23,0))</f>
        <v/>
      </c>
    </row>
    <row r="17" customFormat="false" ht="15" hidden="false" customHeight="false" outlineLevel="0" collapsed="false">
      <c r="A17" s="15"/>
      <c r="B17" s="15"/>
      <c r="C17" s="15"/>
      <c r="D17" s="15"/>
      <c r="E17" s="18"/>
      <c r="F17" s="18"/>
      <c r="G17" s="18"/>
      <c r="H17" s="19"/>
      <c r="I17" s="19"/>
      <c r="J17" s="19"/>
      <c r="K17" s="21"/>
      <c r="L17" s="21"/>
      <c r="M17" s="21"/>
      <c r="N17" s="18"/>
      <c r="O17" s="18"/>
      <c r="P17" s="15"/>
      <c r="Q17" s="57"/>
      <c r="R17" s="21"/>
      <c r="S17" s="21"/>
      <c r="T17" s="58" t="str">
        <f aca="false">IF($AM17="","",INDEX('COD Network Fees'!$C$5:$C$23,$AM17))</f>
        <v/>
      </c>
      <c r="U17" s="20" t="str">
        <f aca="false">IF($AM17="","",IF(($K17+$L17+$M17)=0,0,(($E17+$H17)*$K17+($F17+$I17)*$L17+($G17+$J17)*$M17)/($K17+$L17+$M17)))</f>
        <v/>
      </c>
      <c r="V17" s="59" t="str">
        <f aca="false">IF($AM17="","",IF(($K17+$L17+$M17)=0,0,(Calculator!$H$7*$K17+Calculator!$H$8*$L17+Calculator!$H$9*$M17)/($K17+$L17+$M17)))</f>
        <v/>
      </c>
      <c r="W17" s="36" t="str">
        <f aca="false">IF($AM17="","",$Q17*$R17)</f>
        <v/>
      </c>
      <c r="X17" s="36" t="str">
        <f aca="false">IF($AM17="","",$W17*(1-$S17))</f>
        <v/>
      </c>
      <c r="Y17" s="23" t="str">
        <f aca="false">IF($AM17="","",$X17*$U17)</f>
        <v/>
      </c>
      <c r="Z17" s="60" t="str">
        <f aca="false">IF($AM17="","",$Q17*$O17*IF($P17="USD",INDEX('COD Network Fees'!$B$27:$B$29,MATCH($T17,'COD Network Fees'!$A$27:$A$29,0)),1))</f>
        <v/>
      </c>
      <c r="AA17" s="60" t="str">
        <f aca="false">IF($AM17="","",$X17*$V17*$N17)</f>
        <v/>
      </c>
      <c r="AB17" s="36" t="str">
        <f aca="false">IF($AM17="","",IF($D17="Yes",1,0)*($Q17*IF($C17="Cosmetic",INDEX('COD Network Fees'!$G$5:$G$23,$AM17),INDEX('COD Network Fees'!$D$5:$D$23,$AM17))+$W17*IF($C17="Cosmetic",INDEX('COD Network Fees'!$H$5:$H$23,$AM17),INDEX('COD Network Fees'!$E$5:$E$23,$AM17))+$X17*IF($C17="Cosmetic",INDEX('COD Network Fees'!$I$5:$I$23,$AM17),INDEX('COD Network Fees'!$F$5:$F$23,$AM17))))</f>
        <v/>
      </c>
      <c r="AC17" s="36" t="str">
        <f aca="false">IF($AM17="","",$X17*IF(AND($D17="No",INDEX('COD Network Fees'!$M$5:$M$23,$AM17)&lt;&gt;""),INDEX('COD Network Fees'!$M$5:$M$23,$AM17),INDEX('COD Network Fees'!$K$5:$K$23,$AM17))+($W17-$X17)*IF(AND($D17="No",INDEX('COD Network Fees'!$M$5:$M$23,$AM17)&lt;&gt;""),INDEX('COD Network Fees'!$M$5:$M$23,$AM17),INDEX('COD Network Fees'!$L$5:$L$23,$AM17)))</f>
        <v/>
      </c>
      <c r="AD17" s="36" t="str">
        <f aca="false">IF($AM17="","",$W17*INDEX('COD Network Fees'!$N$5:$N$23,$AM17))</f>
        <v/>
      </c>
      <c r="AE17" s="36" t="str">
        <f aca="false">IF($AM17="","",$Y17*INDEX('COD Network Fees'!$P$5:$P$23,$AM17))</f>
        <v/>
      </c>
      <c r="AF17" s="36" t="str">
        <f aca="false">IF($AM17="","",($Y17-$AB17-$AC17-$AD17-$AE17)*Calculator!$B$19)</f>
        <v/>
      </c>
      <c r="AG17" s="23" t="str">
        <f aca="false">IF($AM17="","",$Y17-$Z17-$AA17-$AB17-$AC17-$AD17-$AE17-$AF17)</f>
        <v/>
      </c>
      <c r="AH17" s="20" t="str">
        <f aca="false">IF($AM17="","",IF($X17=0,0,$AG17/$X17))</f>
        <v/>
      </c>
      <c r="AI17" s="61" t="str">
        <f aca="false">IF($AM17="","",IF($Y17=0,0,$AG17/$Y17))</f>
        <v/>
      </c>
      <c r="AJ17" s="61" t="str">
        <f aca="false">IF($AM17="","",IF(($Z17+$AA17)=0,0,$AG17/($Z17+$AA17)))</f>
        <v/>
      </c>
      <c r="AK17" s="24" t="str">
        <f aca="false">IF($AM17="","",IF($Q17=0,0,($AG17+$Z17)/$Q17/IF($P17="USD",INDEX('COD Network Fees'!$B$27:$B$29,MATCH($T17,'COD Network Fees'!$A$27:$A$29,0)),1)))</f>
        <v/>
      </c>
      <c r="AL17" s="20" t="str">
        <f aca="false">IF($AM17="","",IF($X17*$V17=0,0,$AG17/($X17*$V17)))</f>
        <v/>
      </c>
      <c r="AM17" s="62" t="str">
        <f aca="false">IF($B17="","",MATCH($B17,'COD Network Fees'!$A$5:$A$23,0))</f>
        <v/>
      </c>
    </row>
    <row r="18" customFormat="false" ht="15" hidden="false" customHeight="false" outlineLevel="0" collapsed="false">
      <c r="A18" s="15"/>
      <c r="B18" s="15"/>
      <c r="C18" s="15"/>
      <c r="D18" s="15"/>
      <c r="E18" s="18"/>
      <c r="F18" s="18"/>
      <c r="G18" s="18"/>
      <c r="H18" s="19"/>
      <c r="I18" s="19"/>
      <c r="J18" s="19"/>
      <c r="K18" s="21"/>
      <c r="L18" s="21"/>
      <c r="M18" s="21"/>
      <c r="N18" s="18"/>
      <c r="O18" s="18"/>
      <c r="P18" s="15"/>
      <c r="Q18" s="57"/>
      <c r="R18" s="21"/>
      <c r="S18" s="21"/>
      <c r="T18" s="58" t="str">
        <f aca="false">IF($AM18="","",INDEX('COD Network Fees'!$C$5:$C$23,$AM18))</f>
        <v/>
      </c>
      <c r="U18" s="20" t="str">
        <f aca="false">IF($AM18="","",IF(($K18+$L18+$M18)=0,0,(($E18+$H18)*$K18+($F18+$I18)*$L18+($G18+$J18)*$M18)/($K18+$L18+$M18)))</f>
        <v/>
      </c>
      <c r="V18" s="59" t="str">
        <f aca="false">IF($AM18="","",IF(($K18+$L18+$M18)=0,0,(Calculator!$H$7*$K18+Calculator!$H$8*$L18+Calculator!$H$9*$M18)/($K18+$L18+$M18)))</f>
        <v/>
      </c>
      <c r="W18" s="36" t="str">
        <f aca="false">IF($AM18="","",$Q18*$R18)</f>
        <v/>
      </c>
      <c r="X18" s="36" t="str">
        <f aca="false">IF($AM18="","",$W18*(1-$S18))</f>
        <v/>
      </c>
      <c r="Y18" s="23" t="str">
        <f aca="false">IF($AM18="","",$X18*$U18)</f>
        <v/>
      </c>
      <c r="Z18" s="60" t="str">
        <f aca="false">IF($AM18="","",$Q18*$O18*IF($P18="USD",INDEX('COD Network Fees'!$B$27:$B$29,MATCH($T18,'COD Network Fees'!$A$27:$A$29,0)),1))</f>
        <v/>
      </c>
      <c r="AA18" s="60" t="str">
        <f aca="false">IF($AM18="","",$X18*$V18*$N18)</f>
        <v/>
      </c>
      <c r="AB18" s="36" t="str">
        <f aca="false">IF($AM18="","",IF($D18="Yes",1,0)*($Q18*IF($C18="Cosmetic",INDEX('COD Network Fees'!$G$5:$G$23,$AM18),INDEX('COD Network Fees'!$D$5:$D$23,$AM18))+$W18*IF($C18="Cosmetic",INDEX('COD Network Fees'!$H$5:$H$23,$AM18),INDEX('COD Network Fees'!$E$5:$E$23,$AM18))+$X18*IF($C18="Cosmetic",INDEX('COD Network Fees'!$I$5:$I$23,$AM18),INDEX('COD Network Fees'!$F$5:$F$23,$AM18))))</f>
        <v/>
      </c>
      <c r="AC18" s="36" t="str">
        <f aca="false">IF($AM18="","",$X18*IF(AND($D18="No",INDEX('COD Network Fees'!$M$5:$M$23,$AM18)&lt;&gt;""),INDEX('COD Network Fees'!$M$5:$M$23,$AM18),INDEX('COD Network Fees'!$K$5:$K$23,$AM18))+($W18-$X18)*IF(AND($D18="No",INDEX('COD Network Fees'!$M$5:$M$23,$AM18)&lt;&gt;""),INDEX('COD Network Fees'!$M$5:$M$23,$AM18),INDEX('COD Network Fees'!$L$5:$L$23,$AM18)))</f>
        <v/>
      </c>
      <c r="AD18" s="36" t="str">
        <f aca="false">IF($AM18="","",$W18*INDEX('COD Network Fees'!$N$5:$N$23,$AM18))</f>
        <v/>
      </c>
      <c r="AE18" s="36" t="str">
        <f aca="false">IF($AM18="","",$Y18*INDEX('COD Network Fees'!$P$5:$P$23,$AM18))</f>
        <v/>
      </c>
      <c r="AF18" s="36" t="str">
        <f aca="false">IF($AM18="","",($Y18-$AB18-$AC18-$AD18-$AE18)*Calculator!$B$19)</f>
        <v/>
      </c>
      <c r="AG18" s="23" t="str">
        <f aca="false">IF($AM18="","",$Y18-$Z18-$AA18-$AB18-$AC18-$AD18-$AE18-$AF18)</f>
        <v/>
      </c>
      <c r="AH18" s="20" t="str">
        <f aca="false">IF($AM18="","",IF($X18=0,0,$AG18/$X18))</f>
        <v/>
      </c>
      <c r="AI18" s="61" t="str">
        <f aca="false">IF($AM18="","",IF($Y18=0,0,$AG18/$Y18))</f>
        <v/>
      </c>
      <c r="AJ18" s="61" t="str">
        <f aca="false">IF($AM18="","",IF(($Z18+$AA18)=0,0,$AG18/($Z18+$AA18)))</f>
        <v/>
      </c>
      <c r="AK18" s="24" t="str">
        <f aca="false">IF($AM18="","",IF($Q18=0,0,($AG18+$Z18)/$Q18/IF($P18="USD",INDEX('COD Network Fees'!$B$27:$B$29,MATCH($T18,'COD Network Fees'!$A$27:$A$29,0)),1)))</f>
        <v/>
      </c>
      <c r="AL18" s="20" t="str">
        <f aca="false">IF($AM18="","",IF($X18*$V18=0,0,$AG18/($X18*$V18)))</f>
        <v/>
      </c>
      <c r="AM18" s="62" t="str">
        <f aca="false">IF($B18="","",MATCH($B18,'COD Network Fees'!$A$5:$A$23,0))</f>
        <v/>
      </c>
    </row>
    <row r="19" customFormat="false" ht="15" hidden="false" customHeight="false" outlineLevel="0" collapsed="false">
      <c r="A19" s="15"/>
      <c r="B19" s="15"/>
      <c r="C19" s="15"/>
      <c r="D19" s="15"/>
      <c r="E19" s="18"/>
      <c r="F19" s="18"/>
      <c r="G19" s="18"/>
      <c r="H19" s="19"/>
      <c r="I19" s="19"/>
      <c r="J19" s="19"/>
      <c r="K19" s="21"/>
      <c r="L19" s="21"/>
      <c r="M19" s="21"/>
      <c r="N19" s="18"/>
      <c r="O19" s="18"/>
      <c r="P19" s="15"/>
      <c r="Q19" s="57"/>
      <c r="R19" s="21"/>
      <c r="S19" s="21"/>
      <c r="T19" s="58" t="str">
        <f aca="false">IF($AM19="","",INDEX('COD Network Fees'!$C$5:$C$23,$AM19))</f>
        <v/>
      </c>
      <c r="U19" s="20" t="str">
        <f aca="false">IF($AM19="","",IF(($K19+$L19+$M19)=0,0,(($E19+$H19)*$K19+($F19+$I19)*$L19+($G19+$J19)*$M19)/($K19+$L19+$M19)))</f>
        <v/>
      </c>
      <c r="V19" s="59" t="str">
        <f aca="false">IF($AM19="","",IF(($K19+$L19+$M19)=0,0,(Calculator!$H$7*$K19+Calculator!$H$8*$L19+Calculator!$H$9*$M19)/($K19+$L19+$M19)))</f>
        <v/>
      </c>
      <c r="W19" s="36" t="str">
        <f aca="false">IF($AM19="","",$Q19*$R19)</f>
        <v/>
      </c>
      <c r="X19" s="36" t="str">
        <f aca="false">IF($AM19="","",$W19*(1-$S19))</f>
        <v/>
      </c>
      <c r="Y19" s="23" t="str">
        <f aca="false">IF($AM19="","",$X19*$U19)</f>
        <v/>
      </c>
      <c r="Z19" s="60" t="str">
        <f aca="false">IF($AM19="","",$Q19*$O19*IF($P19="USD",INDEX('COD Network Fees'!$B$27:$B$29,MATCH($T19,'COD Network Fees'!$A$27:$A$29,0)),1))</f>
        <v/>
      </c>
      <c r="AA19" s="60" t="str">
        <f aca="false">IF($AM19="","",$X19*$V19*$N19)</f>
        <v/>
      </c>
      <c r="AB19" s="36" t="str">
        <f aca="false">IF($AM19="","",IF($D19="Yes",1,0)*($Q19*IF($C19="Cosmetic",INDEX('COD Network Fees'!$G$5:$G$23,$AM19),INDEX('COD Network Fees'!$D$5:$D$23,$AM19))+$W19*IF($C19="Cosmetic",INDEX('COD Network Fees'!$H$5:$H$23,$AM19),INDEX('COD Network Fees'!$E$5:$E$23,$AM19))+$X19*IF($C19="Cosmetic",INDEX('COD Network Fees'!$I$5:$I$23,$AM19),INDEX('COD Network Fees'!$F$5:$F$23,$AM19))))</f>
        <v/>
      </c>
      <c r="AC19" s="36" t="str">
        <f aca="false">IF($AM19="","",$X19*IF(AND($D19="No",INDEX('COD Network Fees'!$M$5:$M$23,$AM19)&lt;&gt;""),INDEX('COD Network Fees'!$M$5:$M$23,$AM19),INDEX('COD Network Fees'!$K$5:$K$23,$AM19))+($W19-$X19)*IF(AND($D19="No",INDEX('COD Network Fees'!$M$5:$M$23,$AM19)&lt;&gt;""),INDEX('COD Network Fees'!$M$5:$M$23,$AM19),INDEX('COD Network Fees'!$L$5:$L$23,$AM19)))</f>
        <v/>
      </c>
      <c r="AD19" s="36" t="str">
        <f aca="false">IF($AM19="","",$W19*INDEX('COD Network Fees'!$N$5:$N$23,$AM19))</f>
        <v/>
      </c>
      <c r="AE19" s="36" t="str">
        <f aca="false">IF($AM19="","",$Y19*INDEX('COD Network Fees'!$P$5:$P$23,$AM19))</f>
        <v/>
      </c>
      <c r="AF19" s="36" t="str">
        <f aca="false">IF($AM19="","",($Y19-$AB19-$AC19-$AD19-$AE19)*Calculator!$B$19)</f>
        <v/>
      </c>
      <c r="AG19" s="23" t="str">
        <f aca="false">IF($AM19="","",$Y19-$Z19-$AA19-$AB19-$AC19-$AD19-$AE19-$AF19)</f>
        <v/>
      </c>
      <c r="AH19" s="20" t="str">
        <f aca="false">IF($AM19="","",IF($X19=0,0,$AG19/$X19))</f>
        <v/>
      </c>
      <c r="AI19" s="61" t="str">
        <f aca="false">IF($AM19="","",IF($Y19=0,0,$AG19/$Y19))</f>
        <v/>
      </c>
      <c r="AJ19" s="61" t="str">
        <f aca="false">IF($AM19="","",IF(($Z19+$AA19)=0,0,$AG19/($Z19+$AA19)))</f>
        <v/>
      </c>
      <c r="AK19" s="24" t="str">
        <f aca="false">IF($AM19="","",IF($Q19=0,0,($AG19+$Z19)/$Q19/IF($P19="USD",INDEX('COD Network Fees'!$B$27:$B$29,MATCH($T19,'COD Network Fees'!$A$27:$A$29,0)),1)))</f>
        <v/>
      </c>
      <c r="AL19" s="20" t="str">
        <f aca="false">IF($AM19="","",IF($X19*$V19=0,0,$AG19/($X19*$V19)))</f>
        <v/>
      </c>
      <c r="AM19" s="62" t="str">
        <f aca="false">IF($B19="","",MATCH($B19,'COD Network Fees'!$A$5:$A$23,0))</f>
        <v/>
      </c>
    </row>
    <row r="20" customFormat="false" ht="15" hidden="false" customHeight="false" outlineLevel="0" collapsed="false">
      <c r="A20" s="15"/>
      <c r="B20" s="15"/>
      <c r="C20" s="15"/>
      <c r="D20" s="15"/>
      <c r="E20" s="18"/>
      <c r="F20" s="18"/>
      <c r="G20" s="18"/>
      <c r="H20" s="19"/>
      <c r="I20" s="19"/>
      <c r="J20" s="19"/>
      <c r="K20" s="21"/>
      <c r="L20" s="21"/>
      <c r="M20" s="21"/>
      <c r="N20" s="18"/>
      <c r="O20" s="18"/>
      <c r="P20" s="15"/>
      <c r="Q20" s="57"/>
      <c r="R20" s="21"/>
      <c r="S20" s="21"/>
      <c r="T20" s="58" t="str">
        <f aca="false">IF($AM20="","",INDEX('COD Network Fees'!$C$5:$C$23,$AM20))</f>
        <v/>
      </c>
      <c r="U20" s="20" t="str">
        <f aca="false">IF($AM20="","",IF(($K20+$L20+$M20)=0,0,(($E20+$H20)*$K20+($F20+$I20)*$L20+($G20+$J20)*$M20)/($K20+$L20+$M20)))</f>
        <v/>
      </c>
      <c r="V20" s="59" t="str">
        <f aca="false">IF($AM20="","",IF(($K20+$L20+$M20)=0,0,(Calculator!$H$7*$K20+Calculator!$H$8*$L20+Calculator!$H$9*$M20)/($K20+$L20+$M20)))</f>
        <v/>
      </c>
      <c r="W20" s="36" t="str">
        <f aca="false">IF($AM20="","",$Q20*$R20)</f>
        <v/>
      </c>
      <c r="X20" s="36" t="str">
        <f aca="false">IF($AM20="","",$W20*(1-$S20))</f>
        <v/>
      </c>
      <c r="Y20" s="23" t="str">
        <f aca="false">IF($AM20="","",$X20*$U20)</f>
        <v/>
      </c>
      <c r="Z20" s="60" t="str">
        <f aca="false">IF($AM20="","",$Q20*$O20*IF($P20="USD",INDEX('COD Network Fees'!$B$27:$B$29,MATCH($T20,'COD Network Fees'!$A$27:$A$29,0)),1))</f>
        <v/>
      </c>
      <c r="AA20" s="60" t="str">
        <f aca="false">IF($AM20="","",$X20*$V20*$N20)</f>
        <v/>
      </c>
      <c r="AB20" s="36" t="str">
        <f aca="false">IF($AM20="","",IF($D20="Yes",1,0)*($Q20*IF($C20="Cosmetic",INDEX('COD Network Fees'!$G$5:$G$23,$AM20),INDEX('COD Network Fees'!$D$5:$D$23,$AM20))+$W20*IF($C20="Cosmetic",INDEX('COD Network Fees'!$H$5:$H$23,$AM20),INDEX('COD Network Fees'!$E$5:$E$23,$AM20))+$X20*IF($C20="Cosmetic",INDEX('COD Network Fees'!$I$5:$I$23,$AM20),INDEX('COD Network Fees'!$F$5:$F$23,$AM20))))</f>
        <v/>
      </c>
      <c r="AC20" s="36" t="str">
        <f aca="false">IF($AM20="","",$X20*IF(AND($D20="No",INDEX('COD Network Fees'!$M$5:$M$23,$AM20)&lt;&gt;""),INDEX('COD Network Fees'!$M$5:$M$23,$AM20),INDEX('COD Network Fees'!$K$5:$K$23,$AM20))+($W20-$X20)*IF(AND($D20="No",INDEX('COD Network Fees'!$M$5:$M$23,$AM20)&lt;&gt;""),INDEX('COD Network Fees'!$M$5:$M$23,$AM20),INDEX('COD Network Fees'!$L$5:$L$23,$AM20)))</f>
        <v/>
      </c>
      <c r="AD20" s="36" t="str">
        <f aca="false">IF($AM20="","",$W20*INDEX('COD Network Fees'!$N$5:$N$23,$AM20))</f>
        <v/>
      </c>
      <c r="AE20" s="36" t="str">
        <f aca="false">IF($AM20="","",$Y20*INDEX('COD Network Fees'!$P$5:$P$23,$AM20))</f>
        <v/>
      </c>
      <c r="AF20" s="36" t="str">
        <f aca="false">IF($AM20="","",($Y20-$AB20-$AC20-$AD20-$AE20)*Calculator!$B$19)</f>
        <v/>
      </c>
      <c r="AG20" s="23" t="str">
        <f aca="false">IF($AM20="","",$Y20-$Z20-$AA20-$AB20-$AC20-$AD20-$AE20-$AF20)</f>
        <v/>
      </c>
      <c r="AH20" s="20" t="str">
        <f aca="false">IF($AM20="","",IF($X20=0,0,$AG20/$X20))</f>
        <v/>
      </c>
      <c r="AI20" s="61" t="str">
        <f aca="false">IF($AM20="","",IF($Y20=0,0,$AG20/$Y20))</f>
        <v/>
      </c>
      <c r="AJ20" s="61" t="str">
        <f aca="false">IF($AM20="","",IF(($Z20+$AA20)=0,0,$AG20/($Z20+$AA20)))</f>
        <v/>
      </c>
      <c r="AK20" s="24" t="str">
        <f aca="false">IF($AM20="","",IF($Q20=0,0,($AG20+$Z20)/$Q20/IF($P20="USD",INDEX('COD Network Fees'!$B$27:$B$29,MATCH($T20,'COD Network Fees'!$A$27:$A$29,0)),1)))</f>
        <v/>
      </c>
      <c r="AL20" s="20" t="str">
        <f aca="false">IF($AM20="","",IF($X20*$V20=0,0,$AG20/($X20*$V20)))</f>
        <v/>
      </c>
      <c r="AM20" s="62" t="str">
        <f aca="false">IF($B20="","",MATCH($B20,'COD Network Fees'!$A$5:$A$23,0))</f>
        <v/>
      </c>
    </row>
    <row r="21" customFormat="false" ht="15" hidden="false" customHeight="false" outlineLevel="0" collapsed="false">
      <c r="A21" s="15"/>
      <c r="B21" s="15"/>
      <c r="C21" s="15"/>
      <c r="D21" s="15"/>
      <c r="E21" s="18"/>
      <c r="F21" s="18"/>
      <c r="G21" s="18"/>
      <c r="H21" s="19"/>
      <c r="I21" s="19"/>
      <c r="J21" s="19"/>
      <c r="K21" s="21"/>
      <c r="L21" s="21"/>
      <c r="M21" s="21"/>
      <c r="N21" s="18"/>
      <c r="O21" s="18"/>
      <c r="P21" s="15"/>
      <c r="Q21" s="57"/>
      <c r="R21" s="21"/>
      <c r="S21" s="21"/>
      <c r="T21" s="58" t="str">
        <f aca="false">IF($AM21="","",INDEX('COD Network Fees'!$C$5:$C$23,$AM21))</f>
        <v/>
      </c>
      <c r="U21" s="20" t="str">
        <f aca="false">IF($AM21="","",IF(($K21+$L21+$M21)=0,0,(($E21+$H21)*$K21+($F21+$I21)*$L21+($G21+$J21)*$M21)/($K21+$L21+$M21)))</f>
        <v/>
      </c>
      <c r="V21" s="59" t="str">
        <f aca="false">IF($AM21="","",IF(($K21+$L21+$M21)=0,0,(Calculator!$H$7*$K21+Calculator!$H$8*$L21+Calculator!$H$9*$M21)/($K21+$L21+$M21)))</f>
        <v/>
      </c>
      <c r="W21" s="36" t="str">
        <f aca="false">IF($AM21="","",$Q21*$R21)</f>
        <v/>
      </c>
      <c r="X21" s="36" t="str">
        <f aca="false">IF($AM21="","",$W21*(1-$S21))</f>
        <v/>
      </c>
      <c r="Y21" s="23" t="str">
        <f aca="false">IF($AM21="","",$X21*$U21)</f>
        <v/>
      </c>
      <c r="Z21" s="60" t="str">
        <f aca="false">IF($AM21="","",$Q21*$O21*IF($P21="USD",INDEX('COD Network Fees'!$B$27:$B$29,MATCH($T21,'COD Network Fees'!$A$27:$A$29,0)),1))</f>
        <v/>
      </c>
      <c r="AA21" s="60" t="str">
        <f aca="false">IF($AM21="","",$X21*$V21*$N21)</f>
        <v/>
      </c>
      <c r="AB21" s="36" t="str">
        <f aca="false">IF($AM21="","",IF($D21="Yes",1,0)*($Q21*IF($C21="Cosmetic",INDEX('COD Network Fees'!$G$5:$G$23,$AM21),INDEX('COD Network Fees'!$D$5:$D$23,$AM21))+$W21*IF($C21="Cosmetic",INDEX('COD Network Fees'!$H$5:$H$23,$AM21),INDEX('COD Network Fees'!$E$5:$E$23,$AM21))+$X21*IF($C21="Cosmetic",INDEX('COD Network Fees'!$I$5:$I$23,$AM21),INDEX('COD Network Fees'!$F$5:$F$23,$AM21))))</f>
        <v/>
      </c>
      <c r="AC21" s="36" t="str">
        <f aca="false">IF($AM21="","",$X21*IF(AND($D21="No",INDEX('COD Network Fees'!$M$5:$M$23,$AM21)&lt;&gt;""),INDEX('COD Network Fees'!$M$5:$M$23,$AM21),INDEX('COD Network Fees'!$K$5:$K$23,$AM21))+($W21-$X21)*IF(AND($D21="No",INDEX('COD Network Fees'!$M$5:$M$23,$AM21)&lt;&gt;""),INDEX('COD Network Fees'!$M$5:$M$23,$AM21),INDEX('COD Network Fees'!$L$5:$L$23,$AM21)))</f>
        <v/>
      </c>
      <c r="AD21" s="36" t="str">
        <f aca="false">IF($AM21="","",$W21*INDEX('COD Network Fees'!$N$5:$N$23,$AM21))</f>
        <v/>
      </c>
      <c r="AE21" s="36" t="str">
        <f aca="false">IF($AM21="","",$Y21*INDEX('COD Network Fees'!$P$5:$P$23,$AM21))</f>
        <v/>
      </c>
      <c r="AF21" s="36" t="str">
        <f aca="false">IF($AM21="","",($Y21-$AB21-$AC21-$AD21-$AE21)*Calculator!$B$19)</f>
        <v/>
      </c>
      <c r="AG21" s="23" t="str">
        <f aca="false">IF($AM21="","",$Y21-$Z21-$AA21-$AB21-$AC21-$AD21-$AE21-$AF21)</f>
        <v/>
      </c>
      <c r="AH21" s="20" t="str">
        <f aca="false">IF($AM21="","",IF($X21=0,0,$AG21/$X21))</f>
        <v/>
      </c>
      <c r="AI21" s="61" t="str">
        <f aca="false">IF($AM21="","",IF($Y21=0,0,$AG21/$Y21))</f>
        <v/>
      </c>
      <c r="AJ21" s="61" t="str">
        <f aca="false">IF($AM21="","",IF(($Z21+$AA21)=0,0,$AG21/($Z21+$AA21)))</f>
        <v/>
      </c>
      <c r="AK21" s="24" t="str">
        <f aca="false">IF($AM21="","",IF($Q21=0,0,($AG21+$Z21)/$Q21/IF($P21="USD",INDEX('COD Network Fees'!$B$27:$B$29,MATCH($T21,'COD Network Fees'!$A$27:$A$29,0)),1)))</f>
        <v/>
      </c>
      <c r="AL21" s="20" t="str">
        <f aca="false">IF($AM21="","",IF($X21*$V21=0,0,$AG21/($X21*$V21)))</f>
        <v/>
      </c>
      <c r="AM21" s="62" t="str">
        <f aca="false">IF($B21="","",MATCH($B21,'COD Network Fees'!$A$5:$A$23,0))</f>
        <v/>
      </c>
    </row>
    <row r="22" customFormat="false" ht="15" hidden="false" customHeight="false" outlineLevel="0" collapsed="false">
      <c r="A22" s="15"/>
      <c r="B22" s="15"/>
      <c r="C22" s="15"/>
      <c r="D22" s="15"/>
      <c r="E22" s="18"/>
      <c r="F22" s="18"/>
      <c r="G22" s="18"/>
      <c r="H22" s="19"/>
      <c r="I22" s="19"/>
      <c r="J22" s="19"/>
      <c r="K22" s="21"/>
      <c r="L22" s="21"/>
      <c r="M22" s="21"/>
      <c r="N22" s="18"/>
      <c r="O22" s="18"/>
      <c r="P22" s="15"/>
      <c r="Q22" s="57"/>
      <c r="R22" s="21"/>
      <c r="S22" s="21"/>
      <c r="T22" s="58" t="str">
        <f aca="false">IF($AM22="","",INDEX('COD Network Fees'!$C$5:$C$23,$AM22))</f>
        <v/>
      </c>
      <c r="U22" s="20" t="str">
        <f aca="false">IF($AM22="","",IF(($K22+$L22+$M22)=0,0,(($E22+$H22)*$K22+($F22+$I22)*$L22+($G22+$J22)*$M22)/($K22+$L22+$M22)))</f>
        <v/>
      </c>
      <c r="V22" s="59" t="str">
        <f aca="false">IF($AM22="","",IF(($K22+$L22+$M22)=0,0,(Calculator!$H$7*$K22+Calculator!$H$8*$L22+Calculator!$H$9*$M22)/($K22+$L22+$M22)))</f>
        <v/>
      </c>
      <c r="W22" s="36" t="str">
        <f aca="false">IF($AM22="","",$Q22*$R22)</f>
        <v/>
      </c>
      <c r="X22" s="36" t="str">
        <f aca="false">IF($AM22="","",$W22*(1-$S22))</f>
        <v/>
      </c>
      <c r="Y22" s="23" t="str">
        <f aca="false">IF($AM22="","",$X22*$U22)</f>
        <v/>
      </c>
      <c r="Z22" s="60" t="str">
        <f aca="false">IF($AM22="","",$Q22*$O22*IF($P22="USD",INDEX('COD Network Fees'!$B$27:$B$29,MATCH($T22,'COD Network Fees'!$A$27:$A$29,0)),1))</f>
        <v/>
      </c>
      <c r="AA22" s="60" t="str">
        <f aca="false">IF($AM22="","",$X22*$V22*$N22)</f>
        <v/>
      </c>
      <c r="AB22" s="36" t="str">
        <f aca="false">IF($AM22="","",IF($D22="Yes",1,0)*($Q22*IF($C22="Cosmetic",INDEX('COD Network Fees'!$G$5:$G$23,$AM22),INDEX('COD Network Fees'!$D$5:$D$23,$AM22))+$W22*IF($C22="Cosmetic",INDEX('COD Network Fees'!$H$5:$H$23,$AM22),INDEX('COD Network Fees'!$E$5:$E$23,$AM22))+$X22*IF($C22="Cosmetic",INDEX('COD Network Fees'!$I$5:$I$23,$AM22),INDEX('COD Network Fees'!$F$5:$F$23,$AM22))))</f>
        <v/>
      </c>
      <c r="AC22" s="36" t="str">
        <f aca="false">IF($AM22="","",$X22*IF(AND($D22="No",INDEX('COD Network Fees'!$M$5:$M$23,$AM22)&lt;&gt;""),INDEX('COD Network Fees'!$M$5:$M$23,$AM22),INDEX('COD Network Fees'!$K$5:$K$23,$AM22))+($W22-$X22)*IF(AND($D22="No",INDEX('COD Network Fees'!$M$5:$M$23,$AM22)&lt;&gt;""),INDEX('COD Network Fees'!$M$5:$M$23,$AM22),INDEX('COD Network Fees'!$L$5:$L$23,$AM22)))</f>
        <v/>
      </c>
      <c r="AD22" s="36" t="str">
        <f aca="false">IF($AM22="","",$W22*INDEX('COD Network Fees'!$N$5:$N$23,$AM22))</f>
        <v/>
      </c>
      <c r="AE22" s="36" t="str">
        <f aca="false">IF($AM22="","",$Y22*INDEX('COD Network Fees'!$P$5:$P$23,$AM22))</f>
        <v/>
      </c>
      <c r="AF22" s="36" t="str">
        <f aca="false">IF($AM22="","",($Y22-$AB22-$AC22-$AD22-$AE22)*Calculator!$B$19)</f>
        <v/>
      </c>
      <c r="AG22" s="23" t="str">
        <f aca="false">IF($AM22="","",$Y22-$Z22-$AA22-$AB22-$AC22-$AD22-$AE22-$AF22)</f>
        <v/>
      </c>
      <c r="AH22" s="20" t="str">
        <f aca="false">IF($AM22="","",IF($X22=0,0,$AG22/$X22))</f>
        <v/>
      </c>
      <c r="AI22" s="61" t="str">
        <f aca="false">IF($AM22="","",IF($Y22=0,0,$AG22/$Y22))</f>
        <v/>
      </c>
      <c r="AJ22" s="61" t="str">
        <f aca="false">IF($AM22="","",IF(($Z22+$AA22)=0,0,$AG22/($Z22+$AA22)))</f>
        <v/>
      </c>
      <c r="AK22" s="24" t="str">
        <f aca="false">IF($AM22="","",IF($Q22=0,0,($AG22+$Z22)/$Q22/IF($P22="USD",INDEX('COD Network Fees'!$B$27:$B$29,MATCH($T22,'COD Network Fees'!$A$27:$A$29,0)),1)))</f>
        <v/>
      </c>
      <c r="AL22" s="20" t="str">
        <f aca="false">IF($AM22="","",IF($X22*$V22=0,0,$AG22/($X22*$V22)))</f>
        <v/>
      </c>
      <c r="AM22" s="62" t="str">
        <f aca="false">IF($B22="","",MATCH($B22,'COD Network Fees'!$A$5:$A$23,0))</f>
        <v/>
      </c>
    </row>
    <row r="23" customFormat="false" ht="15" hidden="false" customHeight="false" outlineLevel="0" collapsed="false">
      <c r="A23" s="15"/>
      <c r="B23" s="15"/>
      <c r="C23" s="15"/>
      <c r="D23" s="15"/>
      <c r="E23" s="18"/>
      <c r="F23" s="18"/>
      <c r="G23" s="18"/>
      <c r="H23" s="19"/>
      <c r="I23" s="19"/>
      <c r="J23" s="19"/>
      <c r="K23" s="21"/>
      <c r="L23" s="21"/>
      <c r="M23" s="21"/>
      <c r="N23" s="18"/>
      <c r="O23" s="18"/>
      <c r="P23" s="15"/>
      <c r="Q23" s="57"/>
      <c r="R23" s="21"/>
      <c r="S23" s="21"/>
      <c r="T23" s="58" t="str">
        <f aca="false">IF($AM23="","",INDEX('COD Network Fees'!$C$5:$C$23,$AM23))</f>
        <v/>
      </c>
      <c r="U23" s="20" t="str">
        <f aca="false">IF($AM23="","",IF(($K23+$L23+$M23)=0,0,(($E23+$H23)*$K23+($F23+$I23)*$L23+($G23+$J23)*$M23)/($K23+$L23+$M23)))</f>
        <v/>
      </c>
      <c r="V23" s="59" t="str">
        <f aca="false">IF($AM23="","",IF(($K23+$L23+$M23)=0,0,(Calculator!$H$7*$K23+Calculator!$H$8*$L23+Calculator!$H$9*$M23)/($K23+$L23+$M23)))</f>
        <v/>
      </c>
      <c r="W23" s="36" t="str">
        <f aca="false">IF($AM23="","",$Q23*$R23)</f>
        <v/>
      </c>
      <c r="X23" s="36" t="str">
        <f aca="false">IF($AM23="","",$W23*(1-$S23))</f>
        <v/>
      </c>
      <c r="Y23" s="23" t="str">
        <f aca="false">IF($AM23="","",$X23*$U23)</f>
        <v/>
      </c>
      <c r="Z23" s="60" t="str">
        <f aca="false">IF($AM23="","",$Q23*$O23*IF($P23="USD",INDEX('COD Network Fees'!$B$27:$B$29,MATCH($T23,'COD Network Fees'!$A$27:$A$29,0)),1))</f>
        <v/>
      </c>
      <c r="AA23" s="60" t="str">
        <f aca="false">IF($AM23="","",$X23*$V23*$N23)</f>
        <v/>
      </c>
      <c r="AB23" s="36" t="str">
        <f aca="false">IF($AM23="","",IF($D23="Yes",1,0)*($Q23*IF($C23="Cosmetic",INDEX('COD Network Fees'!$G$5:$G$23,$AM23),INDEX('COD Network Fees'!$D$5:$D$23,$AM23))+$W23*IF($C23="Cosmetic",INDEX('COD Network Fees'!$H$5:$H$23,$AM23),INDEX('COD Network Fees'!$E$5:$E$23,$AM23))+$X23*IF($C23="Cosmetic",INDEX('COD Network Fees'!$I$5:$I$23,$AM23),INDEX('COD Network Fees'!$F$5:$F$23,$AM23))))</f>
        <v/>
      </c>
      <c r="AC23" s="36" t="str">
        <f aca="false">IF($AM23="","",$X23*IF(AND($D23="No",INDEX('COD Network Fees'!$M$5:$M$23,$AM23)&lt;&gt;""),INDEX('COD Network Fees'!$M$5:$M$23,$AM23),INDEX('COD Network Fees'!$K$5:$K$23,$AM23))+($W23-$X23)*IF(AND($D23="No",INDEX('COD Network Fees'!$M$5:$M$23,$AM23)&lt;&gt;""),INDEX('COD Network Fees'!$M$5:$M$23,$AM23),INDEX('COD Network Fees'!$L$5:$L$23,$AM23)))</f>
        <v/>
      </c>
      <c r="AD23" s="36" t="str">
        <f aca="false">IF($AM23="","",$W23*INDEX('COD Network Fees'!$N$5:$N$23,$AM23))</f>
        <v/>
      </c>
      <c r="AE23" s="36" t="str">
        <f aca="false">IF($AM23="","",$Y23*INDEX('COD Network Fees'!$P$5:$P$23,$AM23))</f>
        <v/>
      </c>
      <c r="AF23" s="36" t="str">
        <f aca="false">IF($AM23="","",($Y23-$AB23-$AC23-$AD23-$AE23)*Calculator!$B$19)</f>
        <v/>
      </c>
      <c r="AG23" s="23" t="str">
        <f aca="false">IF($AM23="","",$Y23-$Z23-$AA23-$AB23-$AC23-$AD23-$AE23-$AF23)</f>
        <v/>
      </c>
      <c r="AH23" s="20" t="str">
        <f aca="false">IF($AM23="","",IF($X23=0,0,$AG23/$X23))</f>
        <v/>
      </c>
      <c r="AI23" s="61" t="str">
        <f aca="false">IF($AM23="","",IF($Y23=0,0,$AG23/$Y23))</f>
        <v/>
      </c>
      <c r="AJ23" s="61" t="str">
        <f aca="false">IF($AM23="","",IF(($Z23+$AA23)=0,0,$AG23/($Z23+$AA23)))</f>
        <v/>
      </c>
      <c r="AK23" s="24" t="str">
        <f aca="false">IF($AM23="","",IF($Q23=0,0,($AG23+$Z23)/$Q23/IF($P23="USD",INDEX('COD Network Fees'!$B$27:$B$29,MATCH($T23,'COD Network Fees'!$A$27:$A$29,0)),1)))</f>
        <v/>
      </c>
      <c r="AL23" s="20" t="str">
        <f aca="false">IF($AM23="","",IF($X23*$V23=0,0,$AG23/($X23*$V23)))</f>
        <v/>
      </c>
      <c r="AM23" s="62" t="str">
        <f aca="false">IF($B23="","",MATCH($B23,'COD Network Fees'!$A$5:$A$23,0))</f>
        <v/>
      </c>
    </row>
    <row r="24" customFormat="false" ht="15" hidden="false" customHeight="false" outlineLevel="0" collapsed="false">
      <c r="A24" s="15"/>
      <c r="B24" s="15"/>
      <c r="C24" s="15"/>
      <c r="D24" s="15"/>
      <c r="E24" s="18"/>
      <c r="F24" s="18"/>
      <c r="G24" s="18"/>
      <c r="H24" s="19"/>
      <c r="I24" s="19"/>
      <c r="J24" s="19"/>
      <c r="K24" s="21"/>
      <c r="L24" s="21"/>
      <c r="M24" s="21"/>
      <c r="N24" s="18"/>
      <c r="O24" s="18"/>
      <c r="P24" s="15"/>
      <c r="Q24" s="57"/>
      <c r="R24" s="21"/>
      <c r="S24" s="21"/>
      <c r="T24" s="58" t="str">
        <f aca="false">IF($AM24="","",INDEX('COD Network Fees'!$C$5:$C$23,$AM24))</f>
        <v/>
      </c>
      <c r="U24" s="20" t="str">
        <f aca="false">IF($AM24="","",IF(($K24+$L24+$M24)=0,0,(($E24+$H24)*$K24+($F24+$I24)*$L24+($G24+$J24)*$M24)/($K24+$L24+$M24)))</f>
        <v/>
      </c>
      <c r="V24" s="59" t="str">
        <f aca="false">IF($AM24="","",IF(($K24+$L24+$M24)=0,0,(Calculator!$H$7*$K24+Calculator!$H$8*$L24+Calculator!$H$9*$M24)/($K24+$L24+$M24)))</f>
        <v/>
      </c>
      <c r="W24" s="36" t="str">
        <f aca="false">IF($AM24="","",$Q24*$R24)</f>
        <v/>
      </c>
      <c r="X24" s="36" t="str">
        <f aca="false">IF($AM24="","",$W24*(1-$S24))</f>
        <v/>
      </c>
      <c r="Y24" s="23" t="str">
        <f aca="false">IF($AM24="","",$X24*$U24)</f>
        <v/>
      </c>
      <c r="Z24" s="60" t="str">
        <f aca="false">IF($AM24="","",$Q24*$O24*IF($P24="USD",INDEX('COD Network Fees'!$B$27:$B$29,MATCH($T24,'COD Network Fees'!$A$27:$A$29,0)),1))</f>
        <v/>
      </c>
      <c r="AA24" s="60" t="str">
        <f aca="false">IF($AM24="","",$X24*$V24*$N24)</f>
        <v/>
      </c>
      <c r="AB24" s="36" t="str">
        <f aca="false">IF($AM24="","",IF($D24="Yes",1,0)*($Q24*IF($C24="Cosmetic",INDEX('COD Network Fees'!$G$5:$G$23,$AM24),INDEX('COD Network Fees'!$D$5:$D$23,$AM24))+$W24*IF($C24="Cosmetic",INDEX('COD Network Fees'!$H$5:$H$23,$AM24),INDEX('COD Network Fees'!$E$5:$E$23,$AM24))+$X24*IF($C24="Cosmetic",INDEX('COD Network Fees'!$I$5:$I$23,$AM24),INDEX('COD Network Fees'!$F$5:$F$23,$AM24))))</f>
        <v/>
      </c>
      <c r="AC24" s="36" t="str">
        <f aca="false">IF($AM24="","",$X24*IF(AND($D24="No",INDEX('COD Network Fees'!$M$5:$M$23,$AM24)&lt;&gt;""),INDEX('COD Network Fees'!$M$5:$M$23,$AM24),INDEX('COD Network Fees'!$K$5:$K$23,$AM24))+($W24-$X24)*IF(AND($D24="No",INDEX('COD Network Fees'!$M$5:$M$23,$AM24)&lt;&gt;""),INDEX('COD Network Fees'!$M$5:$M$23,$AM24),INDEX('COD Network Fees'!$L$5:$L$23,$AM24)))</f>
        <v/>
      </c>
      <c r="AD24" s="36" t="str">
        <f aca="false">IF($AM24="","",$W24*INDEX('COD Network Fees'!$N$5:$N$23,$AM24))</f>
        <v/>
      </c>
      <c r="AE24" s="36" t="str">
        <f aca="false">IF($AM24="","",$Y24*INDEX('COD Network Fees'!$P$5:$P$23,$AM24))</f>
        <v/>
      </c>
      <c r="AF24" s="36" t="str">
        <f aca="false">IF($AM24="","",($Y24-$AB24-$AC24-$AD24-$AE24)*Calculator!$B$19)</f>
        <v/>
      </c>
      <c r="AG24" s="23" t="str">
        <f aca="false">IF($AM24="","",$Y24-$Z24-$AA24-$AB24-$AC24-$AD24-$AE24-$AF24)</f>
        <v/>
      </c>
      <c r="AH24" s="20" t="str">
        <f aca="false">IF($AM24="","",IF($X24=0,0,$AG24/$X24))</f>
        <v/>
      </c>
      <c r="AI24" s="61" t="str">
        <f aca="false">IF($AM24="","",IF($Y24=0,0,$AG24/$Y24))</f>
        <v/>
      </c>
      <c r="AJ24" s="61" t="str">
        <f aca="false">IF($AM24="","",IF(($Z24+$AA24)=0,0,$AG24/($Z24+$AA24)))</f>
        <v/>
      </c>
      <c r="AK24" s="24" t="str">
        <f aca="false">IF($AM24="","",IF($Q24=0,0,($AG24+$Z24)/$Q24/IF($P24="USD",INDEX('COD Network Fees'!$B$27:$B$29,MATCH($T24,'COD Network Fees'!$A$27:$A$29,0)),1)))</f>
        <v/>
      </c>
      <c r="AL24" s="20" t="str">
        <f aca="false">IF($AM24="","",IF($X24*$V24=0,0,$AG24/($X24*$V24)))</f>
        <v/>
      </c>
      <c r="AM24" s="62" t="str">
        <f aca="false">IF($B24="","",MATCH($B24,'COD Network Fees'!$A$5:$A$23,0))</f>
        <v/>
      </c>
    </row>
    <row r="26" customFormat="false" ht="15" hidden="false" customHeight="false" outlineLevel="0" collapsed="false">
      <c r="A26" s="6" t="s">
        <v>184</v>
      </c>
    </row>
  </sheetData>
  <mergeCells count="1">
    <mergeCell ref="D3:E3"/>
  </mergeCells>
  <conditionalFormatting sqref="AG5:AG24">
    <cfRule type="cellIs" priority="2" operator="lessThan" aboveAverage="0" equalAverage="0" bottom="0" percent="0" rank="0" text="" dxfId="1">
      <formula>0</formula>
    </cfRule>
  </conditionalFormatting>
  <conditionalFormatting sqref="AH5:AH24">
    <cfRule type="cellIs" priority="3" operator="lessThan" aboveAverage="0" equalAverage="0" bottom="0" percent="0" rank="0" text="" dxfId="1">
      <formula>0</formula>
    </cfRule>
  </conditionalFormatting>
  <conditionalFormatting sqref="AL5:AL24">
    <cfRule type="cellIs" priority="4" operator="lessThan" aboveAverage="0" equalAverage="0" bottom="0" percent="0" rank="0" text="" dxfId="1">
      <formula>0</formula>
    </cfRule>
  </conditionalFormatting>
  <dataValidations count="4">
    <dataValidation allowBlank="true" errorStyle="stop" operator="between" showDropDown="false" showErrorMessage="false" showInputMessage="false" sqref="B5:B24" type="list">
      <formula1>'COD Network Fees'!$A$5:$A$23</formula1>
      <formula2>0</formula2>
    </dataValidation>
    <dataValidation allowBlank="true" errorStyle="stop" operator="between" showDropDown="false" showErrorMessage="false" showInputMessage="false" sqref="C5:C24" type="list">
      <formula1>"Gadget,Cosmetic"</formula1>
      <formula2>0</formula2>
    </dataValidation>
    <dataValidation allowBlank="true" errorStyle="stop" operator="between" showDropDown="false" showErrorMessage="false" showInputMessage="false" sqref="D5:D24" type="list">
      <formula1>"Yes,No"</formula1>
      <formula2>0</formula2>
    </dataValidation>
    <dataValidation allowBlank="true" errorStyle="stop" operator="between" showDropDown="false" showErrorMessage="false" showInputMessage="false" sqref="P5:P24" type="list">
      <formula1>"USD,Market currency"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16" min="4" style="0" width="12"/>
    <col collapsed="false" customWidth="true" hidden="false" outlineLevel="0" max="17" min="17" style="0" width="55"/>
  </cols>
  <sheetData>
    <row r="1" customFormat="false" ht="17.35" hidden="false" customHeight="false" outlineLevel="0" collapsed="false">
      <c r="A1" s="56" t="s">
        <v>185</v>
      </c>
    </row>
    <row r="2" customFormat="false" ht="15" hidden="false" customHeight="false" outlineLevel="0" collapsed="false">
      <c r="A2" s="6" t="s">
        <v>186</v>
      </c>
    </row>
    <row r="3" customFormat="false" ht="19.5" hidden="false" customHeight="true" outlineLevel="0" collapsed="false">
      <c r="A3" s="2" t="s">
        <v>187</v>
      </c>
      <c r="B3" s="6" t="s">
        <v>188</v>
      </c>
    </row>
    <row r="4" customFormat="false" ht="45" hidden="false" customHeight="true" outlineLevel="0" collapsed="false">
      <c r="A4" s="11" t="s">
        <v>148</v>
      </c>
      <c r="B4" s="11" t="s">
        <v>82</v>
      </c>
      <c r="C4" s="11" t="s">
        <v>84</v>
      </c>
      <c r="D4" s="11" t="s">
        <v>189</v>
      </c>
      <c r="E4" s="11" t="s">
        <v>190</v>
      </c>
      <c r="F4" s="11" t="s">
        <v>191</v>
      </c>
      <c r="G4" s="11" t="s">
        <v>192</v>
      </c>
      <c r="H4" s="11" t="s">
        <v>193</v>
      </c>
      <c r="I4" s="11" t="s">
        <v>194</v>
      </c>
      <c r="J4" s="11" t="s">
        <v>195</v>
      </c>
      <c r="K4" s="11" t="s">
        <v>196</v>
      </c>
      <c r="L4" s="11" t="s">
        <v>197</v>
      </c>
      <c r="M4" s="11" t="s">
        <v>198</v>
      </c>
      <c r="N4" s="11" t="s">
        <v>199</v>
      </c>
      <c r="O4" s="11" t="s">
        <v>200</v>
      </c>
      <c r="P4" s="11" t="s">
        <v>201</v>
      </c>
      <c r="Q4" s="11" t="s">
        <v>202</v>
      </c>
    </row>
    <row r="5" customFormat="false" ht="15" hidden="false" customHeight="false" outlineLevel="0" collapsed="false">
      <c r="A5" s="58" t="s">
        <v>203</v>
      </c>
      <c r="B5" s="58" t="s">
        <v>204</v>
      </c>
      <c r="C5" s="58" t="s">
        <v>46</v>
      </c>
      <c r="D5" s="63" t="n">
        <v>0.5</v>
      </c>
      <c r="E5" s="63" t="n">
        <v>1</v>
      </c>
      <c r="F5" s="63" t="n">
        <v>2</v>
      </c>
      <c r="G5" s="63" t="n">
        <v>0.5</v>
      </c>
      <c r="H5" s="63" t="n">
        <v>2</v>
      </c>
      <c r="I5" s="63" t="n">
        <v>3</v>
      </c>
      <c r="J5" s="63" t="n">
        <v>1</v>
      </c>
      <c r="K5" s="63" t="n">
        <v>5.99</v>
      </c>
      <c r="L5" s="63" t="n">
        <v>4.99</v>
      </c>
      <c r="M5" s="63" t="n">
        <v>6.99</v>
      </c>
      <c r="N5" s="63" t="n">
        <v>0</v>
      </c>
      <c r="O5" s="63" t="n">
        <v>1</v>
      </c>
      <c r="P5" s="64" t="n">
        <v>0.05</v>
      </c>
      <c r="Q5" s="65" t="s">
        <v>205</v>
      </c>
    </row>
    <row r="6" customFormat="false" ht="15" hidden="false" customHeight="false" outlineLevel="0" collapsed="false">
      <c r="A6" s="58" t="s">
        <v>179</v>
      </c>
      <c r="B6" s="58" t="s">
        <v>204</v>
      </c>
      <c r="C6" s="58" t="s">
        <v>46</v>
      </c>
      <c r="D6" s="63" t="n">
        <v>0.5</v>
      </c>
      <c r="E6" s="63" t="n">
        <v>1</v>
      </c>
      <c r="F6" s="63" t="n">
        <v>2</v>
      </c>
      <c r="G6" s="63" t="n">
        <v>0.5</v>
      </c>
      <c r="H6" s="63" t="n">
        <v>2</v>
      </c>
      <c r="I6" s="63" t="n">
        <v>3</v>
      </c>
      <c r="J6" s="63" t="n">
        <v>1</v>
      </c>
      <c r="K6" s="63" t="n">
        <v>4.99</v>
      </c>
      <c r="L6" s="63" t="n">
        <v>2.99</v>
      </c>
      <c r="M6" s="63" t="n">
        <v>6.99</v>
      </c>
      <c r="N6" s="63" t="n">
        <v>0</v>
      </c>
      <c r="O6" s="63" t="n">
        <v>1</v>
      </c>
      <c r="P6" s="64" t="n">
        <v>0.05</v>
      </c>
      <c r="Q6" s="65" t="s">
        <v>205</v>
      </c>
    </row>
    <row r="7" customFormat="false" ht="15" hidden="false" customHeight="false" outlineLevel="0" collapsed="false">
      <c r="A7" s="58" t="s">
        <v>206</v>
      </c>
      <c r="B7" s="58" t="s">
        <v>204</v>
      </c>
      <c r="C7" s="58" t="s">
        <v>46</v>
      </c>
      <c r="D7" s="63" t="n">
        <v>0.5</v>
      </c>
      <c r="E7" s="63" t="n">
        <v>1</v>
      </c>
      <c r="F7" s="63" t="n">
        <v>2</v>
      </c>
      <c r="G7" s="63" t="n">
        <v>0.5</v>
      </c>
      <c r="H7" s="63" t="n">
        <v>2</v>
      </c>
      <c r="I7" s="63" t="n">
        <v>3</v>
      </c>
      <c r="J7" s="63" t="n">
        <v>1</v>
      </c>
      <c r="K7" s="63" t="n">
        <v>6.99</v>
      </c>
      <c r="L7" s="63" t="n">
        <v>5.99</v>
      </c>
      <c r="M7" s="63" t="n">
        <v>7.99</v>
      </c>
      <c r="N7" s="63" t="n">
        <v>0</v>
      </c>
      <c r="O7" s="63" t="n">
        <v>1</v>
      </c>
      <c r="P7" s="64" t="n">
        <v>0.05</v>
      </c>
      <c r="Q7" s="65" t="s">
        <v>205</v>
      </c>
    </row>
    <row r="8" customFormat="false" ht="15" hidden="false" customHeight="false" outlineLevel="0" collapsed="false">
      <c r="A8" s="58" t="s">
        <v>207</v>
      </c>
      <c r="B8" s="58" t="s">
        <v>204</v>
      </c>
      <c r="C8" s="58" t="s">
        <v>46</v>
      </c>
      <c r="D8" s="63" t="n">
        <v>0.5</v>
      </c>
      <c r="E8" s="63" t="n">
        <v>1</v>
      </c>
      <c r="F8" s="63" t="n">
        <v>2</v>
      </c>
      <c r="G8" s="63" t="n">
        <v>0.5</v>
      </c>
      <c r="H8" s="63" t="n">
        <v>2</v>
      </c>
      <c r="I8" s="63" t="n">
        <v>3</v>
      </c>
      <c r="J8" s="63" t="n">
        <v>1</v>
      </c>
      <c r="K8" s="63" t="n">
        <v>6.99</v>
      </c>
      <c r="L8" s="63" t="n">
        <v>5.99</v>
      </c>
      <c r="M8" s="63" t="n">
        <v>7.99</v>
      </c>
      <c r="N8" s="63" t="n">
        <v>0</v>
      </c>
      <c r="O8" s="63" t="n">
        <v>1</v>
      </c>
      <c r="P8" s="64" t="n">
        <v>0.05</v>
      </c>
      <c r="Q8" s="65" t="s">
        <v>205</v>
      </c>
    </row>
    <row r="9" customFormat="false" ht="15" hidden="false" customHeight="false" outlineLevel="0" collapsed="false">
      <c r="A9" s="58" t="s">
        <v>208</v>
      </c>
      <c r="B9" s="58" t="s">
        <v>204</v>
      </c>
      <c r="C9" s="58" t="s">
        <v>46</v>
      </c>
      <c r="D9" s="63" t="n">
        <v>0.5</v>
      </c>
      <c r="E9" s="63" t="n">
        <v>1</v>
      </c>
      <c r="F9" s="63" t="n">
        <v>2</v>
      </c>
      <c r="G9" s="63" t="n">
        <v>0.5</v>
      </c>
      <c r="H9" s="63" t="n">
        <v>2</v>
      </c>
      <c r="I9" s="63" t="n">
        <v>3</v>
      </c>
      <c r="J9" s="63" t="n">
        <v>1</v>
      </c>
      <c r="K9" s="63" t="n">
        <v>6.99</v>
      </c>
      <c r="L9" s="63" t="n">
        <v>5.99</v>
      </c>
      <c r="M9" s="63" t="n">
        <v>7.99</v>
      </c>
      <c r="N9" s="63" t="n">
        <v>0</v>
      </c>
      <c r="O9" s="63" t="n">
        <v>1</v>
      </c>
      <c r="P9" s="64" t="n">
        <v>0.05</v>
      </c>
      <c r="Q9" s="65" t="s">
        <v>205</v>
      </c>
    </row>
    <row r="10" customFormat="false" ht="15" hidden="false" customHeight="false" outlineLevel="0" collapsed="false">
      <c r="A10" s="58" t="s">
        <v>209</v>
      </c>
      <c r="B10" s="58" t="s">
        <v>204</v>
      </c>
      <c r="C10" s="58" t="s">
        <v>46</v>
      </c>
      <c r="D10" s="63" t="n">
        <v>0.5</v>
      </c>
      <c r="E10" s="63" t="n">
        <v>1</v>
      </c>
      <c r="F10" s="63" t="n">
        <v>2</v>
      </c>
      <c r="G10" s="63" t="n">
        <v>0.5</v>
      </c>
      <c r="H10" s="63" t="n">
        <v>2</v>
      </c>
      <c r="I10" s="63" t="n">
        <v>3</v>
      </c>
      <c r="J10" s="63" t="n">
        <v>1</v>
      </c>
      <c r="K10" s="63" t="n">
        <v>6.99</v>
      </c>
      <c r="L10" s="63" t="n">
        <v>5.99</v>
      </c>
      <c r="M10" s="63" t="n">
        <v>7.99</v>
      </c>
      <c r="N10" s="63" t="n">
        <v>0</v>
      </c>
      <c r="O10" s="63" t="n">
        <v>1</v>
      </c>
      <c r="P10" s="64" t="n">
        <v>0.05</v>
      </c>
      <c r="Q10" s="65" t="s">
        <v>205</v>
      </c>
    </row>
    <row r="11" customFormat="false" ht="15" hidden="false" customHeight="false" outlineLevel="0" collapsed="false">
      <c r="A11" s="58" t="s">
        <v>9</v>
      </c>
      <c r="B11" s="58" t="s">
        <v>9</v>
      </c>
      <c r="C11" s="58" t="s">
        <v>210</v>
      </c>
      <c r="D11" s="63" t="n">
        <v>2</v>
      </c>
      <c r="E11" s="63" t="n">
        <v>4</v>
      </c>
      <c r="F11" s="63" t="n">
        <v>7</v>
      </c>
      <c r="G11" s="63" t="n">
        <v>2</v>
      </c>
      <c r="H11" s="63" t="n">
        <v>4</v>
      </c>
      <c r="I11" s="63" t="n">
        <v>7</v>
      </c>
      <c r="J11" s="63" t="n">
        <v>5</v>
      </c>
      <c r="K11" s="63" t="n">
        <v>35</v>
      </c>
      <c r="L11" s="63" t="n">
        <v>9</v>
      </c>
      <c r="M11" s="63"/>
      <c r="N11" s="63" t="n">
        <v>8</v>
      </c>
      <c r="O11" s="63" t="n">
        <v>0</v>
      </c>
      <c r="P11" s="64" t="n">
        <v>0</v>
      </c>
      <c r="Q11" s="65" t="s">
        <v>211</v>
      </c>
    </row>
    <row r="12" customFormat="false" ht="15" hidden="false" customHeight="false" outlineLevel="0" collapsed="false">
      <c r="A12" s="58" t="s">
        <v>182</v>
      </c>
      <c r="B12" s="58" t="s">
        <v>212</v>
      </c>
      <c r="C12" s="58" t="s">
        <v>213</v>
      </c>
      <c r="D12" s="63" t="n">
        <v>0.5</v>
      </c>
      <c r="E12" s="63" t="n">
        <v>1</v>
      </c>
      <c r="F12" s="63" t="n">
        <v>2</v>
      </c>
      <c r="G12" s="63" t="n">
        <v>0.5</v>
      </c>
      <c r="H12" s="63" t="n">
        <v>1</v>
      </c>
      <c r="I12" s="63" t="n">
        <v>2</v>
      </c>
      <c r="J12" s="63" t="n">
        <v>1</v>
      </c>
      <c r="K12" s="63" t="n">
        <v>7.99</v>
      </c>
      <c r="L12" s="63" t="n">
        <v>6.99</v>
      </c>
      <c r="M12" s="63"/>
      <c r="N12" s="63" t="n">
        <v>0</v>
      </c>
      <c r="O12" s="63" t="n">
        <v>0</v>
      </c>
      <c r="P12" s="64" t="n">
        <v>0.05</v>
      </c>
      <c r="Q12" s="65" t="s">
        <v>214</v>
      </c>
    </row>
    <row r="13" customFormat="false" ht="15" hidden="false" customHeight="false" outlineLevel="0" collapsed="false">
      <c r="A13" s="58" t="s">
        <v>215</v>
      </c>
      <c r="B13" s="58" t="s">
        <v>212</v>
      </c>
      <c r="C13" s="58" t="s">
        <v>213</v>
      </c>
      <c r="D13" s="63" t="n">
        <v>0.5</v>
      </c>
      <c r="E13" s="63" t="n">
        <v>1</v>
      </c>
      <c r="F13" s="63" t="n">
        <v>2</v>
      </c>
      <c r="G13" s="63" t="n">
        <v>0.5</v>
      </c>
      <c r="H13" s="63" t="n">
        <v>1</v>
      </c>
      <c r="I13" s="63" t="n">
        <v>2</v>
      </c>
      <c r="J13" s="63" t="n">
        <v>1</v>
      </c>
      <c r="K13" s="63" t="n">
        <v>7.99</v>
      </c>
      <c r="L13" s="63" t="n">
        <v>8.99</v>
      </c>
      <c r="M13" s="63"/>
      <c r="N13" s="63" t="n">
        <v>0</v>
      </c>
      <c r="O13" s="63" t="n">
        <v>0</v>
      </c>
      <c r="P13" s="64" t="n">
        <v>0.05</v>
      </c>
      <c r="Q13" s="65" t="s">
        <v>214</v>
      </c>
    </row>
    <row r="14" customFormat="false" ht="15" hidden="false" customHeight="false" outlineLevel="0" collapsed="false">
      <c r="A14" s="58" t="s">
        <v>216</v>
      </c>
      <c r="B14" s="58" t="s">
        <v>212</v>
      </c>
      <c r="C14" s="58" t="s">
        <v>213</v>
      </c>
      <c r="D14" s="63" t="n">
        <v>0.5</v>
      </c>
      <c r="E14" s="63" t="n">
        <v>1</v>
      </c>
      <c r="F14" s="63" t="n">
        <v>2</v>
      </c>
      <c r="G14" s="63" t="n">
        <v>0.5</v>
      </c>
      <c r="H14" s="63" t="n">
        <v>1</v>
      </c>
      <c r="I14" s="63" t="n">
        <v>2</v>
      </c>
      <c r="J14" s="63" t="n">
        <v>1</v>
      </c>
      <c r="K14" s="63" t="n">
        <v>6.99</v>
      </c>
      <c r="L14" s="63" t="n">
        <v>5.99</v>
      </c>
      <c r="M14" s="63"/>
      <c r="N14" s="63" t="n">
        <v>0</v>
      </c>
      <c r="O14" s="63" t="n">
        <v>0</v>
      </c>
      <c r="P14" s="64" t="n">
        <v>0.05</v>
      </c>
      <c r="Q14" s="65" t="s">
        <v>214</v>
      </c>
    </row>
    <row r="15" customFormat="false" ht="15" hidden="false" customHeight="false" outlineLevel="0" collapsed="false">
      <c r="A15" s="58" t="s">
        <v>217</v>
      </c>
      <c r="B15" s="58" t="s">
        <v>212</v>
      </c>
      <c r="C15" s="58" t="s">
        <v>213</v>
      </c>
      <c r="D15" s="63" t="n">
        <v>0.5</v>
      </c>
      <c r="E15" s="63" t="n">
        <v>1</v>
      </c>
      <c r="F15" s="63" t="n">
        <v>2</v>
      </c>
      <c r="G15" s="63" t="n">
        <v>0.5</v>
      </c>
      <c r="H15" s="63" t="n">
        <v>1</v>
      </c>
      <c r="I15" s="63" t="n">
        <v>2</v>
      </c>
      <c r="J15" s="63" t="n">
        <v>1</v>
      </c>
      <c r="K15" s="63" t="n">
        <v>7.99</v>
      </c>
      <c r="L15" s="63" t="n">
        <v>6.99</v>
      </c>
      <c r="M15" s="63"/>
      <c r="N15" s="63" t="n">
        <v>0</v>
      </c>
      <c r="O15" s="63" t="n">
        <v>0</v>
      </c>
      <c r="P15" s="64" t="n">
        <v>0.05</v>
      </c>
      <c r="Q15" s="65" t="s">
        <v>214</v>
      </c>
    </row>
    <row r="16" customFormat="false" ht="15" hidden="false" customHeight="false" outlineLevel="0" collapsed="false">
      <c r="A16" s="58" t="s">
        <v>218</v>
      </c>
      <c r="B16" s="58" t="s">
        <v>212</v>
      </c>
      <c r="C16" s="58" t="s">
        <v>213</v>
      </c>
      <c r="D16" s="63" t="n">
        <v>0.5</v>
      </c>
      <c r="E16" s="63" t="n">
        <v>1</v>
      </c>
      <c r="F16" s="63" t="n">
        <v>2</v>
      </c>
      <c r="G16" s="63" t="n">
        <v>0.5</v>
      </c>
      <c r="H16" s="63" t="n">
        <v>1</v>
      </c>
      <c r="I16" s="63" t="n">
        <v>2</v>
      </c>
      <c r="J16" s="63" t="n">
        <v>1</v>
      </c>
      <c r="K16" s="63" t="n">
        <v>7.99</v>
      </c>
      <c r="L16" s="63" t="n">
        <v>6.99</v>
      </c>
      <c r="M16" s="63"/>
      <c r="N16" s="63" t="n">
        <v>0</v>
      </c>
      <c r="O16" s="63" t="n">
        <v>0</v>
      </c>
      <c r="P16" s="64" t="n">
        <v>0.05</v>
      </c>
      <c r="Q16" s="65" t="s">
        <v>214</v>
      </c>
    </row>
    <row r="17" customFormat="false" ht="15" hidden="false" customHeight="false" outlineLevel="0" collapsed="false">
      <c r="A17" s="58" t="s">
        <v>219</v>
      </c>
      <c r="B17" s="58" t="s">
        <v>212</v>
      </c>
      <c r="C17" s="58" t="s">
        <v>213</v>
      </c>
      <c r="D17" s="63" t="n">
        <v>0.5</v>
      </c>
      <c r="E17" s="63" t="n">
        <v>1</v>
      </c>
      <c r="F17" s="63" t="n">
        <v>2</v>
      </c>
      <c r="G17" s="63" t="n">
        <v>0.5</v>
      </c>
      <c r="H17" s="63" t="n">
        <v>1</v>
      </c>
      <c r="I17" s="63" t="n">
        <v>2</v>
      </c>
      <c r="J17" s="63" t="n">
        <v>1</v>
      </c>
      <c r="K17" s="63" t="n">
        <v>7.99</v>
      </c>
      <c r="L17" s="63" t="n">
        <v>6.99</v>
      </c>
      <c r="M17" s="63"/>
      <c r="N17" s="63" t="n">
        <v>0</v>
      </c>
      <c r="O17" s="63" t="n">
        <v>0</v>
      </c>
      <c r="P17" s="64" t="n">
        <v>0.05</v>
      </c>
      <c r="Q17" s="65" t="s">
        <v>214</v>
      </c>
    </row>
    <row r="18" customFormat="false" ht="15" hidden="false" customHeight="false" outlineLevel="0" collapsed="false">
      <c r="A18" s="58" t="s">
        <v>220</v>
      </c>
      <c r="B18" s="58" t="s">
        <v>212</v>
      </c>
      <c r="C18" s="58" t="s">
        <v>213</v>
      </c>
      <c r="D18" s="63" t="n">
        <v>0.5</v>
      </c>
      <c r="E18" s="63" t="n">
        <v>1</v>
      </c>
      <c r="F18" s="63" t="n">
        <v>2</v>
      </c>
      <c r="G18" s="63" t="n">
        <v>0.5</v>
      </c>
      <c r="H18" s="63" t="n">
        <v>1</v>
      </c>
      <c r="I18" s="63" t="n">
        <v>2</v>
      </c>
      <c r="J18" s="63" t="n">
        <v>1</v>
      </c>
      <c r="K18" s="63" t="n">
        <v>7.99</v>
      </c>
      <c r="L18" s="63" t="n">
        <v>6.99</v>
      </c>
      <c r="M18" s="63"/>
      <c r="N18" s="63" t="n">
        <v>0</v>
      </c>
      <c r="O18" s="63" t="n">
        <v>0</v>
      </c>
      <c r="P18" s="64" t="n">
        <v>0.05</v>
      </c>
      <c r="Q18" s="65" t="s">
        <v>214</v>
      </c>
    </row>
    <row r="19" customFormat="false" ht="15" hidden="false" customHeight="false" outlineLevel="0" collapsed="false">
      <c r="A19" s="58" t="s">
        <v>221</v>
      </c>
      <c r="B19" s="58" t="s">
        <v>212</v>
      </c>
      <c r="C19" s="58" t="s">
        <v>213</v>
      </c>
      <c r="D19" s="63" t="n">
        <v>0.5</v>
      </c>
      <c r="E19" s="63" t="n">
        <v>1</v>
      </c>
      <c r="F19" s="63" t="n">
        <v>2</v>
      </c>
      <c r="G19" s="63" t="n">
        <v>0.5</v>
      </c>
      <c r="H19" s="63" t="n">
        <v>1</v>
      </c>
      <c r="I19" s="63" t="n">
        <v>2</v>
      </c>
      <c r="J19" s="63" t="n">
        <v>1</v>
      </c>
      <c r="K19" s="63" t="n">
        <v>7.99</v>
      </c>
      <c r="L19" s="63" t="n">
        <v>6.99</v>
      </c>
      <c r="M19" s="63"/>
      <c r="N19" s="63" t="n">
        <v>0</v>
      </c>
      <c r="O19" s="63" t="n">
        <v>0</v>
      </c>
      <c r="P19" s="64" t="n">
        <v>0.05</v>
      </c>
      <c r="Q19" s="65" t="s">
        <v>214</v>
      </c>
    </row>
    <row r="20" customFormat="false" ht="15" hidden="false" customHeight="false" outlineLevel="0" collapsed="false">
      <c r="A20" s="58" t="s">
        <v>222</v>
      </c>
      <c r="B20" s="58" t="s">
        <v>212</v>
      </c>
      <c r="C20" s="58" t="s">
        <v>213</v>
      </c>
      <c r="D20" s="63" t="n">
        <v>0.5</v>
      </c>
      <c r="E20" s="63" t="n">
        <v>1</v>
      </c>
      <c r="F20" s="63" t="n">
        <v>2</v>
      </c>
      <c r="G20" s="63" t="n">
        <v>0.5</v>
      </c>
      <c r="H20" s="63" t="n">
        <v>1</v>
      </c>
      <c r="I20" s="63" t="n">
        <v>2</v>
      </c>
      <c r="J20" s="63" t="n">
        <v>1</v>
      </c>
      <c r="K20" s="63" t="n">
        <v>7.99</v>
      </c>
      <c r="L20" s="63" t="n">
        <v>6.99</v>
      </c>
      <c r="M20" s="63"/>
      <c r="N20" s="63" t="n">
        <v>0</v>
      </c>
      <c r="O20" s="63" t="n">
        <v>0</v>
      </c>
      <c r="P20" s="64" t="n">
        <v>0.05</v>
      </c>
      <c r="Q20" s="65" t="s">
        <v>214</v>
      </c>
    </row>
    <row r="21" customFormat="false" ht="15" hidden="false" customHeight="false" outlineLevel="0" collapsed="false">
      <c r="A21" s="58" t="s">
        <v>223</v>
      </c>
      <c r="B21" s="58" t="s">
        <v>212</v>
      </c>
      <c r="C21" s="58" t="s">
        <v>213</v>
      </c>
      <c r="D21" s="63" t="n">
        <v>0.5</v>
      </c>
      <c r="E21" s="63" t="n">
        <v>1</v>
      </c>
      <c r="F21" s="63" t="n">
        <v>2</v>
      </c>
      <c r="G21" s="63" t="n">
        <v>0.5</v>
      </c>
      <c r="H21" s="63" t="n">
        <v>1</v>
      </c>
      <c r="I21" s="63" t="n">
        <v>2</v>
      </c>
      <c r="J21" s="63" t="n">
        <v>1</v>
      </c>
      <c r="K21" s="63" t="n">
        <v>7.99</v>
      </c>
      <c r="L21" s="63" t="n">
        <v>6.99</v>
      </c>
      <c r="M21" s="63"/>
      <c r="N21" s="63" t="n">
        <v>0</v>
      </c>
      <c r="O21" s="63" t="n">
        <v>0</v>
      </c>
      <c r="P21" s="64" t="n">
        <v>0.05</v>
      </c>
      <c r="Q21" s="65" t="s">
        <v>214</v>
      </c>
    </row>
    <row r="22" customFormat="false" ht="15" hidden="false" customHeight="false" outlineLevel="0" collapsed="false">
      <c r="A22" s="58" t="s">
        <v>224</v>
      </c>
      <c r="B22" s="58" t="s">
        <v>225</v>
      </c>
      <c r="C22" s="58" t="s">
        <v>46</v>
      </c>
      <c r="D22" s="63" t="n">
        <v>0.25</v>
      </c>
      <c r="E22" s="63" t="n">
        <v>0.5</v>
      </c>
      <c r="F22" s="63" t="n">
        <v>1</v>
      </c>
      <c r="G22" s="63" t="n">
        <v>0.25</v>
      </c>
      <c r="H22" s="63" t="n">
        <v>0.5</v>
      </c>
      <c r="I22" s="63" t="n">
        <v>1</v>
      </c>
      <c r="J22" s="63" t="n">
        <v>1</v>
      </c>
      <c r="K22" s="63" t="n">
        <v>4.49</v>
      </c>
      <c r="L22" s="63" t="n">
        <v>4.49</v>
      </c>
      <c r="M22" s="63"/>
      <c r="N22" s="63" t="n">
        <v>0</v>
      </c>
      <c r="O22" s="63" t="n">
        <v>0</v>
      </c>
      <c r="P22" s="64" t="n">
        <v>0.05</v>
      </c>
      <c r="Q22" s="65" t="s">
        <v>226</v>
      </c>
    </row>
    <row r="23" customFormat="false" ht="15" hidden="false" customHeight="false" outlineLevel="0" collapsed="false">
      <c r="A23" s="58" t="s">
        <v>227</v>
      </c>
      <c r="B23" s="58" t="s">
        <v>225</v>
      </c>
      <c r="C23" s="58" t="s">
        <v>46</v>
      </c>
      <c r="D23" s="63" t="n">
        <v>0.25</v>
      </c>
      <c r="E23" s="63" t="n">
        <v>0.5</v>
      </c>
      <c r="F23" s="63" t="n">
        <v>1</v>
      </c>
      <c r="G23" s="63" t="n">
        <v>0.25</v>
      </c>
      <c r="H23" s="63" t="n">
        <v>0.5</v>
      </c>
      <c r="I23" s="63" t="n">
        <v>1</v>
      </c>
      <c r="J23" s="63" t="n">
        <v>1</v>
      </c>
      <c r="K23" s="63" t="n">
        <v>7.99</v>
      </c>
      <c r="L23" s="63" t="n">
        <v>7.99</v>
      </c>
      <c r="M23" s="63"/>
      <c r="N23" s="63" t="n">
        <v>0</v>
      </c>
      <c r="O23" s="63" t="n">
        <v>0</v>
      </c>
      <c r="P23" s="64" t="n">
        <v>0.05</v>
      </c>
      <c r="Q23" s="65" t="s">
        <v>226</v>
      </c>
    </row>
    <row r="25" customFormat="false" ht="15" hidden="false" customHeight="false" outlineLevel="0" collapsed="false">
      <c r="A25" s="66" t="s">
        <v>228</v>
      </c>
    </row>
    <row r="26" customFormat="false" ht="15" hidden="false" customHeight="false" outlineLevel="0" collapsed="false">
      <c r="A26" s="67" t="s">
        <v>84</v>
      </c>
      <c r="B26" s="67" t="s">
        <v>229</v>
      </c>
    </row>
    <row r="27" customFormat="false" ht="15" hidden="false" customHeight="false" outlineLevel="0" collapsed="false">
      <c r="A27" s="8" t="s">
        <v>46</v>
      </c>
      <c r="B27" s="68" t="n">
        <v>1</v>
      </c>
      <c r="C27" s="6" t="s">
        <v>230</v>
      </c>
    </row>
    <row r="28" customFormat="false" ht="15" hidden="false" customHeight="false" outlineLevel="0" collapsed="false">
      <c r="A28" s="8" t="s">
        <v>210</v>
      </c>
      <c r="B28" s="68" t="n">
        <v>9.2</v>
      </c>
    </row>
    <row r="29" customFormat="false" ht="15" hidden="false" customHeight="false" outlineLevel="0" collapsed="false">
      <c r="A29" s="8" t="s">
        <v>213</v>
      </c>
      <c r="B29" s="68" t="n">
        <v>0.87</v>
      </c>
    </row>
    <row r="31" customFormat="false" ht="15" hidden="false" customHeight="false" outlineLevel="0" collapsed="false">
      <c r="A31" s="66" t="s">
        <v>231</v>
      </c>
    </row>
    <row r="32" customFormat="false" ht="15" hidden="false" customHeight="false" outlineLevel="0" collapsed="false">
      <c r="A32" s="8" t="s">
        <v>232</v>
      </c>
    </row>
    <row r="33" customFormat="false" ht="15" hidden="false" customHeight="false" outlineLevel="0" collapsed="false">
      <c r="A33" s="8" t="s">
        <v>233</v>
      </c>
    </row>
    <row r="34" customFormat="false" ht="15" hidden="false" customHeight="false" outlineLevel="0" collapsed="false">
      <c r="A34" s="8" t="s">
        <v>234</v>
      </c>
    </row>
    <row r="35" customFormat="false" ht="15" hidden="false" customHeight="false" outlineLevel="0" collapsed="false">
      <c r="A35" s="8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2026-10-04T19:00:43Z</dcterms:created>
  <dc:creator>openpyxl</dc:creator>
  <dc:description/>
  <dc:language>en-US</dc:language>
  <cp:lastModifiedBy/>
  <dcterms:modified xsi:type="dcterms:W3CDTF">2026-10-04T19:00:43Z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
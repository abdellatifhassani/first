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tor" sheetId="1" state="visible" r:id="rId3"/>
    <sheet name="Compare Products" sheetId="2" state="visible" r:id="rId4"/>
    <sheet name="COD Network Fe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<sst xmlns="http://schemas.openxmlformats.org/spreadsheetml/2006/main" count="266" uniqueCount="190">
  <si>
    <t xml:space="preserve">COD Profit Calculator - COD Network</t>
  </si>
  <si>
    <t xml:space="preserve">Fill in the YELLOW cells only (blue text). Everything else is calculated. Fees come from the 'COD Network Fees' tab.</t>
  </si>
  <si>
    <t xml:space="preserve">1. INPUTS</t>
  </si>
  <si>
    <t xml:space="preserve">6. NET PROFIT SENSITIVITY: cost per lead (rows) x return rate (columns)</t>
  </si>
  <si>
    <t xml:space="preserve">Market (country)</t>
  </si>
  <si>
    <t xml:space="preserve">Morocco</t>
  </si>
  <si>
    <t xml:space="preserve">Pick from the list</t>
  </si>
  <si>
    <t xml:space="preserve">Product category</t>
  </si>
  <si>
    <t xml:space="preserve">Gadget</t>
  </si>
  <si>
    <t xml:space="preserve">Gadget or Cosmetic (changes call-center fees in GCC)</t>
  </si>
  <si>
    <t xml:space="preserve">CPL \ Return</t>
  </si>
  <si>
    <t xml:space="preserve">Use COD Network call center?</t>
  </si>
  <si>
    <t xml:space="preserve">Yes</t>
  </si>
  <si>
    <t xml:space="preserve">No = you confirm orders yourself (no call-center fees)</t>
  </si>
  <si>
    <t xml:space="preserve">Selling price</t>
  </si>
  <si>
    <t xml:space="preserve">Product cost (landed, per unit)</t>
  </si>
  <si>
    <t xml:space="preserve">Cost per result (cost per lead)</t>
  </si>
  <si>
    <t xml:space="preserve">From your ads manager</t>
  </si>
  <si>
    <t xml:space="preserve">Cost per result is in</t>
  </si>
  <si>
    <t xml:space="preserve">USD</t>
  </si>
  <si>
    <t xml:space="preserve">USD or Market currency</t>
  </si>
  <si>
    <t xml:space="preserve">Number of leads</t>
  </si>
  <si>
    <t xml:space="preserve">Leads / orders received in the period</t>
  </si>
  <si>
    <t xml:space="preserve">Confirmation rate</t>
  </si>
  <si>
    <t xml:space="preserve">% of leads confirmed by the call center</t>
  </si>
  <si>
    <t xml:space="preserve">Return rate</t>
  </si>
  <si>
    <t xml:space="preserve">% of confirmed orders refused / not delivered</t>
  </si>
  <si>
    <t xml:space="preserve">Rows = 0.5x to 2.5x your current cost per lead. Column headers (blue) are editable.</t>
  </si>
  <si>
    <t xml:space="preserve">Upsell rate</t>
  </si>
  <si>
    <t xml:space="preserve">% of delivered orders that took an upsell / cross-sell</t>
  </si>
  <si>
    <t xml:space="preserve">Upsell extra revenue per upsell</t>
  </si>
  <si>
    <t xml:space="preserve">Extra price collected per upsell order</t>
  </si>
  <si>
    <t xml:space="preserve">Upsell extra product cost per upsell</t>
  </si>
  <si>
    <t xml:space="preserve">Extra unit cost per upsell order</t>
  </si>
  <si>
    <t xml:space="preserve">Package weight (kg)</t>
  </si>
  <si>
    <t xml:space="preserve">Higher of real or volumetric (LxHxW/5000)</t>
  </si>
  <si>
    <t xml:space="preserve">Payment processing fee (on payout)</t>
  </si>
  <si>
    <t xml:space="preserve">Contract: 0% to 5% by method (PayPal, bank, Payoneer)</t>
  </si>
  <si>
    <t xml:space="preserve">Other fixed costs (period)</t>
  </si>
  <si>
    <t xml:space="preserve">Shopify, apps, creatives, salaries, customs... in market currency</t>
  </si>
  <si>
    <t xml:space="preserve">2. FEES APPLIED (pulled automatically from your contract)</t>
  </si>
  <si>
    <t xml:space="preserve">Helper: per-lead model (do not edit)</t>
  </si>
  <si>
    <t xml:space="preserve">Fee table row (helper)</t>
  </si>
  <si>
    <t xml:space="preserve">Position of the market in the fee table</t>
  </si>
  <si>
    <t xml:space="preserve">Price per delivered (incl. upsell)</t>
  </si>
  <si>
    <t xml:space="preserve">Region</t>
  </si>
  <si>
    <t xml:space="preserve">alpha (per delivered)</t>
  </si>
  <si>
    <t xml:space="preserve">Currency</t>
  </si>
  <si>
    <t xml:space="preserve">All amounts below are in this currency</t>
  </si>
  <si>
    <t xml:space="preserve">beta (per returned)</t>
  </si>
  <si>
    <t xml:space="preserve">Call center - fee per lead</t>
  </si>
  <si>
    <t xml:space="preserve">gamma (product cost per delivered)</t>
  </si>
  <si>
    <t xml:space="preserve">Call center - fee per confirmed order</t>
  </si>
  <si>
    <t xml:space="preserve">Lead fee</t>
  </si>
  <si>
    <t xml:space="preserve">Call center - fee per delivered order</t>
  </si>
  <si>
    <t xml:space="preserve">Fixed per lead</t>
  </si>
  <si>
    <t xml:space="preserve">Call center - fee per upsell</t>
  </si>
  <si>
    <t xml:space="preserve">Intercept (r=0, total)</t>
  </si>
  <si>
    <t xml:space="preserve">Shipping per delivered order</t>
  </si>
  <si>
    <t xml:space="preserve">Without call center the flat GCC rate is used</t>
  </si>
  <si>
    <t xml:space="preserve">Slope per unit return rate</t>
  </si>
  <si>
    <t xml:space="preserve">Shipping per returned order</t>
  </si>
  <si>
    <t xml:space="preserve">Check: model - P&amp;L (should be 0)</t>
  </si>
  <si>
    <t xml:space="preserve">Fulfillment per shipped order</t>
  </si>
  <si>
    <t xml:space="preserve">Charged on every shipped (confirmed) order</t>
  </si>
  <si>
    <t xml:space="preserve">Overweight surcharge per shipped order</t>
  </si>
  <si>
    <t xml:space="preserve">Contract: +1 per kg above 5 kg (local shipping)</t>
  </si>
  <si>
    <t xml:space="preserve">COD fee (% of cash collected)</t>
  </si>
  <si>
    <t xml:space="preserve">Exchange rate (units per 1 USD)</t>
  </si>
  <si>
    <t xml:space="preserve">Edit on the fees tab</t>
  </si>
  <si>
    <t xml:space="preserve">Cost per lead in market currency</t>
  </si>
  <si>
    <t xml:space="preserve">3. ORDER FUNNEL</t>
  </si>
  <si>
    <t xml:space="preserve">Leads</t>
  </si>
  <si>
    <t xml:space="preserve">Confirmed (shipped) orders</t>
  </si>
  <si>
    <t xml:space="preserve">Delivered orders</t>
  </si>
  <si>
    <t xml:space="preserve">Returned orders</t>
  </si>
  <si>
    <t xml:space="preserve">Upsell orders</t>
  </si>
  <si>
    <t xml:space="preserve">Delivery rate (delivered / leads)</t>
  </si>
  <si>
    <t xml:space="preserve">Your real 'lead to cash' rate</t>
  </si>
  <si>
    <t xml:space="preserve">4. PROFIT &amp; LOSS</t>
  </si>
  <si>
    <t xml:space="preserve">Product revenue</t>
  </si>
  <si>
    <t xml:space="preserve">Upsell revenue</t>
  </si>
  <si>
    <t xml:space="preserve">Total cash collected (revenue)</t>
  </si>
  <si>
    <t xml:space="preserve">Call center fees</t>
  </si>
  <si>
    <t xml:space="preserve">Lead + confirmation + delivery + upsell fees</t>
  </si>
  <si>
    <t xml:space="preserve">Shipping - delivered orders</t>
  </si>
  <si>
    <t xml:space="preserve">Shipping - returned orders</t>
  </si>
  <si>
    <t xml:space="preserve">Fulfillment</t>
  </si>
  <si>
    <t xml:space="preserve">Overweight surcharge</t>
  </si>
  <si>
    <t xml:space="preserve">COD fee</t>
  </si>
  <si>
    <t xml:space="preserve">Total COD Network fees</t>
  </si>
  <si>
    <t xml:space="preserve">Payout from COD Network</t>
  </si>
  <si>
    <t xml:space="preserve">What COD Network transfers to you</t>
  </si>
  <si>
    <t xml:space="preserve">Payment processing fee</t>
  </si>
  <si>
    <t xml:space="preserve">Ad spend</t>
  </si>
  <si>
    <t xml:space="preserve">Leads x cost per lead</t>
  </si>
  <si>
    <t xml:space="preserve">Product cost (delivered units)</t>
  </si>
  <si>
    <t xml:space="preserve">Returned units go back to stock, so they are not a cost</t>
  </si>
  <si>
    <t xml:space="preserve">Other fixed costs</t>
  </si>
  <si>
    <t xml:space="preserve">Total costs</t>
  </si>
  <si>
    <t xml:space="preserve">NET PROFIT</t>
  </si>
  <si>
    <t xml:space="preserve">5. KEY NUMBERS</t>
  </si>
  <si>
    <t xml:space="preserve">Net profit per delivered order</t>
  </si>
  <si>
    <t xml:space="preserve">Net margin (profit / revenue)</t>
  </si>
  <si>
    <t xml:space="preserve">ROI (profit / (ads + product cost))</t>
  </si>
  <si>
    <t xml:space="preserve">ROAS (revenue / ad spend)</t>
  </si>
  <si>
    <t xml:space="preserve">Ad cost per delivered order (real CPA)</t>
  </si>
  <si>
    <t xml:space="preserve">Total cost per delivered order</t>
  </si>
  <si>
    <t xml:space="preserve">All costs except the product itself</t>
  </si>
  <si>
    <t xml:space="preserve">Break-even cost per lead</t>
  </si>
  <si>
    <t xml:space="preserve">Break-even selling price</t>
  </si>
  <si>
    <t xml:space="preserve">Break-even return rate</t>
  </si>
  <si>
    <t xml:space="preserve">Highest return rate before you lose money</t>
  </si>
  <si>
    <t xml:space="preserve">Compare products / markets side by side</t>
  </si>
  <si>
    <t xml:space="preserve">Yellow = inputs, one product per row. Uses the payment processing fee from the Calculator. Upsells, overweight surcharge and fixed costs are not included here - use the Calculator for those.</t>
  </si>
  <si>
    <t xml:space="preserve">Product</t>
  </si>
  <si>
    <t xml:space="preserve">Market</t>
  </si>
  <si>
    <t xml:space="preserve">Category</t>
  </si>
  <si>
    <t xml:space="preserve">Call center?</t>
  </si>
  <si>
    <t xml:space="preserve">Product cost</t>
  </si>
  <si>
    <t xml:space="preserve">Cost per lead</t>
  </si>
  <si>
    <t xml:space="preserve">CPL currency</t>
  </si>
  <si>
    <t xml:space="preserve">Confirmed</t>
  </si>
  <si>
    <t xml:space="preserve">Delivered</t>
  </si>
  <si>
    <t xml:space="preserve">Revenue</t>
  </si>
  <si>
    <t xml:space="preserve">Product cost total</t>
  </si>
  <si>
    <t xml:space="preserve">Shipping</t>
  </si>
  <si>
    <t xml:space="preserve">Payment fee</t>
  </si>
  <si>
    <t xml:space="preserve">Profit / delivered</t>
  </si>
  <si>
    <t xml:space="preserve">Margin</t>
  </si>
  <si>
    <t xml:space="preserve">ROI</t>
  </si>
  <si>
    <t xml:space="preserve">Break-even CPL</t>
  </si>
  <si>
    <t xml:space="preserve">Fee row</t>
  </si>
  <si>
    <t xml:space="preserve">Example: posture corrector</t>
  </si>
  <si>
    <t xml:space="preserve">Example: serum</t>
  </si>
  <si>
    <t xml:space="preserve">KSA</t>
  </si>
  <si>
    <t xml:space="preserve">Cosmetic</t>
  </si>
  <si>
    <t xml:space="preserve">Example: gummies</t>
  </si>
  <si>
    <t xml:space="preserve">Spain</t>
  </si>
  <si>
    <t xml:space="preserve">Market currency</t>
  </si>
  <si>
    <t xml:space="preserve">All money columns are in each row's market currency (column L). Break-even CPL is in the row's CPL currency.</t>
  </si>
  <si>
    <t xml:space="preserve">COD Network fee schedule (from your agreement)</t>
  </si>
  <si>
    <t xml:space="preserve">Source: COD Network DWC LLC agreement (PDF you provided). Blue = values copied from the contract. Edit any cell if your rates change - every calculation updates automatically.</t>
  </si>
  <si>
    <t xml:space="preserve">Lead fee
(Gadget)</t>
  </si>
  <si>
    <t xml:space="preserve">Confirmed fee
(Gadget)</t>
  </si>
  <si>
    <t xml:space="preserve">Delivered fee
(Gadget)</t>
  </si>
  <si>
    <t xml:space="preserve">Lead fee
(Cosmetic)</t>
  </si>
  <si>
    <t xml:space="preserve">Confirmed fee
(Cosmetic)</t>
  </si>
  <si>
    <t xml:space="preserve">Delivered fee
(Cosmetic)</t>
  </si>
  <si>
    <t xml:space="preserve">Upsell / cross-sell
fee</t>
  </si>
  <si>
    <t xml:space="preserve">Shipping delivered
(with call center)</t>
  </si>
  <si>
    <t xml:space="preserve">Shipping returned
(with call center)</t>
  </si>
  <si>
    <t xml:space="preserve">Shipping flat
(without call center)</t>
  </si>
  <si>
    <t xml:space="preserve">Fulfillment
per shipped order</t>
  </si>
  <si>
    <t xml:space="preserve">Extra per kg
over 5 kg</t>
  </si>
  <si>
    <t xml:space="preserve">COD fee
(% of collected)</t>
  </si>
  <si>
    <t xml:space="preserve">Notes</t>
  </si>
  <si>
    <t xml:space="preserve">UAE</t>
  </si>
  <si>
    <t xml:space="preserve">GCC</t>
  </si>
  <si>
    <t xml:space="preserve">VAT included</t>
  </si>
  <si>
    <t xml:space="preserve">Bahrain</t>
  </si>
  <si>
    <t xml:space="preserve">Oman</t>
  </si>
  <si>
    <t xml:space="preserve">Kuwait</t>
  </si>
  <si>
    <t xml:space="preserve">Qatar</t>
  </si>
  <si>
    <t xml:space="preserve">MAD</t>
  </si>
  <si>
    <t xml:space="preserve">No COD fee column in the Morocco table - set to 0%. Confirm with COD Network.</t>
  </si>
  <si>
    <t xml:space="preserve">Europe</t>
  </si>
  <si>
    <t xml:space="preserve">EUR</t>
  </si>
  <si>
    <t xml:space="preserve">VAT 0%. Upsell fee not listed for Europe - assumed same as general clause (1).</t>
  </si>
  <si>
    <t xml:space="preserve">Portugal</t>
  </si>
  <si>
    <t xml:space="preserve">Poland</t>
  </si>
  <si>
    <t xml:space="preserve">Czech Republic</t>
  </si>
  <si>
    <t xml:space="preserve">Hungary</t>
  </si>
  <si>
    <t xml:space="preserve">Slovakia</t>
  </si>
  <si>
    <t xml:space="preserve">Romania</t>
  </si>
  <si>
    <t xml:space="preserve">Lithuania</t>
  </si>
  <si>
    <t xml:space="preserve">Slovenia</t>
  </si>
  <si>
    <t xml:space="preserve">Croatia</t>
  </si>
  <si>
    <t xml:space="preserve">Colombia</t>
  </si>
  <si>
    <t xml:space="preserve">LATAM</t>
  </si>
  <si>
    <t xml:space="preserve">VAT 0%. Upsell fee not listed for LATAM - assumed same as general clause ($1).</t>
  </si>
  <si>
    <t xml:space="preserve">Panama</t>
  </si>
  <si>
    <t xml:space="preserve">Exchange rates (edit to today's rate)</t>
  </si>
  <si>
    <t xml:space="preserve">Units per 1 USD</t>
  </si>
  <si>
    <t xml:space="preserve">Approximate rates - update them before using. Only used when your cost per result is in USD.</t>
  </si>
  <si>
    <t xml:space="preserve">Contract terms that are NOT modelled per order (add them under 'Other fixed costs' on the Calculator if they apply):</t>
  </si>
  <si>
    <t xml:space="preserve">- Payment processing on remittances: 0% to 5% depending on method (PayPal, bank transfer, Payoneer) -&gt; input on Calculator.</t>
  </si>
  <si>
    <t xml:space="preserve">- International (cross-border) shipping, customs clearance (+$9 Kuwait), import duties and government taxes.</t>
  </si>
  <si>
    <t xml:space="preserve">- Storage and labeling are free in all listed markets; GCC fulfillment is free; Morocco fulfillment is 8 MAD per order.</t>
  </si>
  <si>
    <t xml:space="preserve">- Volumetric weight: L x H x W / 5000. Use the higher of real and volumetric weight in 'Package weight'.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</si>
</sst>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%"/>
    <numFmt numFmtId="166" formatCode="#,##0.00;\(#,##0.00\);\-"/>
    <numFmt numFmtId="167" formatCode="#,##0;\(#,##0\);\-"/>
    <numFmt numFmtId="168" formatCode="0.0%;\(0.0%\);\-"/>
    <numFmt numFmtId="169" formatCode="0.0"/>
    <numFmt numFmtId="170" formatCode="0"/>
    <numFmt numFmtId="171" formatCode="#,##0.00"/>
    <numFmt numFmtId="172" formatCode="0.00"/>
    <numFmt numFmtId="173" formatCode="0.00\x"/>
    <numFmt numFmtId="17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7943B"/>
        <bgColor rgb="FFFF8080"/>
      </patternFill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4E8"/>
      </patternFill>
    </fill>
    <fill>
      <patternFill patternType="solid">
        <fgColor rgb="FFFFF4E8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8000"/>
        <sz val="13"/>
      </font>
    </dxf>
    <dxf>
      <font>
        <name val="Arial"/>
        <charset val="1"/>
        <family val="0"/>
        <b val="1"/>
        <color rgb="FFC00000"/>
        <sz val="13"/>
      </font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4E8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43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3"/>
    <col collapsed="false" customWidth="true" hidden="false" outlineLevel="0" max="9" min="5" style="0" width="13"/>
    <col collapsed="false" customWidth="true" hidden="false" outlineLevel="0" max="10" min="10" style="0" width="30"/>
    <col collapsed="false" customWidth="true" hidden="false" outlineLevel="0" max="12" min="11" style="0" width="13"/>
  </cols>
  <sheetData>
    <row r="1" customFormat="false" ht="30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E4" s="3" t="s">
        <v>3</v>
      </c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4" t="s">
        <v>4</v>
      </c>
      <c r="B5" s="5" t="s">
        <v>5</v>
      </c>
      <c r="C5" s="2" t="s">
        <v>6</v>
      </c>
      <c r="E5" s="2" t="str">
        <f aca="false">"Uses your current confirmation rate, price and fees. CPL in "&amp;IF($B$11="USD","USD",$B$25)&amp;", profit in "&amp;$B$25&amp;"."</f>
        <v>Uses your current confirmation rate, price and fees. CPL in USD, profit in MAD.</v>
      </c>
    </row>
    <row r="6" customFormat="false" ht="15" hidden="false" customHeight="false" outlineLevel="0" collapsed="false">
      <c r="A6" s="4" t="s">
        <v>7</v>
      </c>
      <c r="B6" s="5" t="s">
        <v>8</v>
      </c>
      <c r="C6" s="2" t="s">
        <v>9</v>
      </c>
      <c r="E6" s="6" t="s">
        <v>10</v>
      </c>
      <c r="F6" s="7" t="n">
        <v>0.15</v>
      </c>
      <c r="G6" s="7" t="n">
        <v>0.25</v>
      </c>
      <c r="H6" s="7" t="n">
        <v>0.3</v>
      </c>
      <c r="I6" s="7" t="n">
        <v>0.35</v>
      </c>
      <c r="J6" s="7" t="n">
        <v>0.4</v>
      </c>
      <c r="K6" s="7" t="n">
        <v>0.5</v>
      </c>
      <c r="L6" s="7" t="n">
        <v>0.6</v>
      </c>
    </row>
    <row r="7" customFormat="false" ht="15" hidden="false" customHeight="false" outlineLevel="0" collapsed="false">
      <c r="A7" s="4" t="s">
        <v>11</v>
      </c>
      <c r="B7" s="5" t="s">
        <v>12</v>
      </c>
      <c r="C7" s="2" t="s">
        <v>13</v>
      </c>
      <c r="E7" s="8" t="n">
        <f aca="false">$B$10*0.5</f>
        <v>1</v>
      </c>
      <c r="F7" s="9" t="n">
        <f aca="false">$B$12*((1-$B$19)*(-$K$27+$B$13*(1-F$6)*$K$24+$B$13*F$6*$K$25)-$B$13*(1-F$6)*$K$26-$E7*IF($B$11="USD",$B$35,1))-$B$20</f>
        <v>89038.8</v>
      </c>
      <c r="G7" s="9" t="n">
        <f aca="false">$B$12*((1-$B$19)*(-$K$27+$B$13*(1-G$6)*$K$24+$B$13*G$6*$K$25)-$B$13*(1-G$6)*$K$26-$E7*IF($B$11="USD",$B$35,1))-$B$20</f>
        <v>75798</v>
      </c>
      <c r="H7" s="9" t="n">
        <f aca="false">$B$12*((1-$B$19)*(-$K$27+$B$13*(1-H$6)*$K$24+$B$13*H$6*$K$25)-$B$13*(1-H$6)*$K$26-$E7*IF($B$11="USD",$B$35,1))-$B$20</f>
        <v>69177.6</v>
      </c>
      <c r="I7" s="9" t="n">
        <f aca="false">$B$12*((1-$B$19)*(-$K$27+$B$13*(1-I$6)*$K$24+$B$13*I$6*$K$25)-$B$13*(1-I$6)*$K$26-$E7*IF($B$11="USD",$B$35,1))-$B$20</f>
        <v>62557.2</v>
      </c>
      <c r="J7" s="9" t="n">
        <f aca="false">$B$12*((1-$B$19)*(-$K$27+$B$13*(1-J$6)*$K$24+$B$13*J$6*$K$25)-$B$13*(1-J$6)*$K$26-$E7*IF($B$11="USD",$B$35,1))-$B$20</f>
        <v>55936.8</v>
      </c>
      <c r="K7" s="9" t="n">
        <f aca="false">$B$12*((1-$B$19)*(-$K$27+$B$13*(1-K$6)*$K$24+$B$13*K$6*$K$25)-$B$13*(1-K$6)*$K$26-$E7*IF($B$11="USD",$B$35,1))-$B$20</f>
        <v>42696</v>
      </c>
      <c r="L7" s="9" t="n">
        <f aca="false">$B$12*((1-$B$19)*(-$K$27+$B$13*(1-L$6)*$K$24+$B$13*L$6*$K$25)-$B$13*(1-L$6)*$K$26-$E7*IF($B$11="USD",$B$35,1))-$B$20</f>
        <v>29455.2</v>
      </c>
    </row>
    <row r="8" customFormat="false" ht="15" hidden="false" customHeight="false" outlineLevel="0" collapsed="false">
      <c r="A8" s="4" t="s">
        <v>14</v>
      </c>
      <c r="B8" s="10" t="n">
        <v>299</v>
      </c>
      <c r="C8" s="2" t="str">
        <f aca="false">" per order, in "&amp;B25</f>
        <v> per order, in MAD</v>
      </c>
      <c r="E8" s="8" t="n">
        <f aca="false">$B$10*0.75</f>
        <v>1.5</v>
      </c>
      <c r="F8" s="9" t="n">
        <f aca="false">$B$12*((1-$B$19)*(-$K$27+$B$13*(1-F$6)*$K$24+$B$13*F$6*$K$25)-$B$13*(1-F$6)*$K$26-$E8*IF($B$11="USD",$B$35,1))-$B$20</f>
        <v>84438.8</v>
      </c>
      <c r="G8" s="9" t="n">
        <f aca="false">$B$12*((1-$B$19)*(-$K$27+$B$13*(1-G$6)*$K$24+$B$13*G$6*$K$25)-$B$13*(1-G$6)*$K$26-$E8*IF($B$11="USD",$B$35,1))-$B$20</f>
        <v>71198</v>
      </c>
      <c r="H8" s="9" t="n">
        <f aca="false">$B$12*((1-$B$19)*(-$K$27+$B$13*(1-H$6)*$K$24+$B$13*H$6*$K$25)-$B$13*(1-H$6)*$K$26-$E8*IF($B$11="USD",$B$35,1))-$B$20</f>
        <v>64577.6</v>
      </c>
      <c r="I8" s="9" t="n">
        <f aca="false">$B$12*((1-$B$19)*(-$K$27+$B$13*(1-I$6)*$K$24+$B$13*I$6*$K$25)-$B$13*(1-I$6)*$K$26-$E8*IF($B$11="USD",$B$35,1))-$B$20</f>
        <v>57957.2</v>
      </c>
      <c r="J8" s="9" t="n">
        <f aca="false">$B$12*((1-$B$19)*(-$K$27+$B$13*(1-J$6)*$K$24+$B$13*J$6*$K$25)-$B$13*(1-J$6)*$K$26-$E8*IF($B$11="USD",$B$35,1))-$B$20</f>
        <v>51336.8</v>
      </c>
      <c r="K8" s="9" t="n">
        <f aca="false">$B$12*((1-$B$19)*(-$K$27+$B$13*(1-K$6)*$K$24+$B$13*K$6*$K$25)-$B$13*(1-K$6)*$K$26-$E8*IF($B$11="USD",$B$35,1))-$B$20</f>
        <v>38096</v>
      </c>
      <c r="L8" s="9" t="n">
        <f aca="false">$B$12*((1-$B$19)*(-$K$27+$B$13*(1-L$6)*$K$24+$B$13*L$6*$K$25)-$B$13*(1-L$6)*$K$26-$E8*IF($B$11="USD",$B$35,1))-$B$20</f>
        <v>24855.2</v>
      </c>
    </row>
    <row r="9" customFormat="false" ht="15" hidden="false" customHeight="false" outlineLevel="0" collapsed="false">
      <c r="A9" s="4" t="s">
        <v>15</v>
      </c>
      <c r="B9" s="10" t="n">
        <v>40</v>
      </c>
      <c r="C9" s="2" t="str">
        <f aca="false">"Purchase + import cost per unit, in "&amp;B25</f>
        <v>Purchase + import cost per unit, in MAD</v>
      </c>
      <c r="E9" s="8" t="n">
        <f aca="false">$B$10*1</f>
        <v>2</v>
      </c>
      <c r="F9" s="9" t="n">
        <f aca="false">$B$12*((1-$B$19)*(-$K$27+$B$13*(1-F$6)*$K$24+$B$13*F$6*$K$25)-$B$13*(1-F$6)*$K$26-$E9*IF($B$11="USD",$B$35,1))-$B$20</f>
        <v>79838.8</v>
      </c>
      <c r="G9" s="9" t="n">
        <f aca="false">$B$12*((1-$B$19)*(-$K$27+$B$13*(1-G$6)*$K$24+$B$13*G$6*$K$25)-$B$13*(1-G$6)*$K$26-$E9*IF($B$11="USD",$B$35,1))-$B$20</f>
        <v>66598</v>
      </c>
      <c r="H9" s="9" t="n">
        <f aca="false">$B$12*((1-$B$19)*(-$K$27+$B$13*(1-H$6)*$K$24+$B$13*H$6*$K$25)-$B$13*(1-H$6)*$K$26-$E9*IF($B$11="USD",$B$35,1))-$B$20</f>
        <v>59977.6</v>
      </c>
      <c r="I9" s="9" t="n">
        <f aca="false">$B$12*((1-$B$19)*(-$K$27+$B$13*(1-I$6)*$K$24+$B$13*I$6*$K$25)-$B$13*(1-I$6)*$K$26-$E9*IF($B$11="USD",$B$35,1))-$B$20</f>
        <v>53357.2</v>
      </c>
      <c r="J9" s="9" t="n">
        <f aca="false">$B$12*((1-$B$19)*(-$K$27+$B$13*(1-J$6)*$K$24+$B$13*J$6*$K$25)-$B$13*(1-J$6)*$K$26-$E9*IF($B$11="USD",$B$35,1))-$B$20</f>
        <v>46736.8</v>
      </c>
      <c r="K9" s="9" t="n">
        <f aca="false">$B$12*((1-$B$19)*(-$K$27+$B$13*(1-K$6)*$K$24+$B$13*K$6*$K$25)-$B$13*(1-K$6)*$K$26-$E9*IF($B$11="USD",$B$35,1))-$B$20</f>
        <v>33496</v>
      </c>
      <c r="L9" s="9" t="n">
        <f aca="false">$B$12*((1-$B$19)*(-$K$27+$B$13*(1-L$6)*$K$24+$B$13*L$6*$K$25)-$B$13*(1-L$6)*$K$26-$E9*IF($B$11="USD",$B$35,1))-$B$20</f>
        <v>20255.2</v>
      </c>
    </row>
    <row r="10" customFormat="false" ht="15" hidden="false" customHeight="false" outlineLevel="0" collapsed="false">
      <c r="A10" s="4" t="s">
        <v>16</v>
      </c>
      <c r="B10" s="10" t="n">
        <v>2</v>
      </c>
      <c r="C10" s="2" t="s">
        <v>17</v>
      </c>
      <c r="E10" s="8" t="n">
        <f aca="false">$B$10*1.25</f>
        <v>2.5</v>
      </c>
      <c r="F10" s="9" t="n">
        <f aca="false">$B$12*((1-$B$19)*(-$K$27+$B$13*(1-F$6)*$K$24+$B$13*F$6*$K$25)-$B$13*(1-F$6)*$K$26-$E10*IF($B$11="USD",$B$35,1))-$B$20</f>
        <v>75238.8</v>
      </c>
      <c r="G10" s="9" t="n">
        <f aca="false">$B$12*((1-$B$19)*(-$K$27+$B$13*(1-G$6)*$K$24+$B$13*G$6*$K$25)-$B$13*(1-G$6)*$K$26-$E10*IF($B$11="USD",$B$35,1))-$B$20</f>
        <v>61998</v>
      </c>
      <c r="H10" s="9" t="n">
        <f aca="false">$B$12*((1-$B$19)*(-$K$27+$B$13*(1-H$6)*$K$24+$B$13*H$6*$K$25)-$B$13*(1-H$6)*$K$26-$E10*IF($B$11="USD",$B$35,1))-$B$20</f>
        <v>55377.6</v>
      </c>
      <c r="I10" s="9" t="n">
        <f aca="false">$B$12*((1-$B$19)*(-$K$27+$B$13*(1-I$6)*$K$24+$B$13*I$6*$K$25)-$B$13*(1-I$6)*$K$26-$E10*IF($B$11="USD",$B$35,1))-$B$20</f>
        <v>48757.2</v>
      </c>
      <c r="J10" s="9" t="n">
        <f aca="false">$B$12*((1-$B$19)*(-$K$27+$B$13*(1-J$6)*$K$24+$B$13*J$6*$K$25)-$B$13*(1-J$6)*$K$26-$E10*IF($B$11="USD",$B$35,1))-$B$20</f>
        <v>42136.8</v>
      </c>
      <c r="K10" s="9" t="n">
        <f aca="false">$B$12*((1-$B$19)*(-$K$27+$B$13*(1-K$6)*$K$24+$B$13*K$6*$K$25)-$B$13*(1-K$6)*$K$26-$E10*IF($B$11="USD",$B$35,1))-$B$20</f>
        <v>28896</v>
      </c>
      <c r="L10" s="9" t="n">
        <f aca="false">$B$12*((1-$B$19)*(-$K$27+$B$13*(1-L$6)*$K$24+$B$13*L$6*$K$25)-$B$13*(1-L$6)*$K$26-$E10*IF($B$11="USD",$B$35,1))-$B$20</f>
        <v>15655.2</v>
      </c>
    </row>
    <row r="11" customFormat="false" ht="15" hidden="false" customHeight="false" outlineLevel="0" collapsed="false">
      <c r="A11" s="4" t="s">
        <v>18</v>
      </c>
      <c r="B11" s="5" t="s">
        <v>19</v>
      </c>
      <c r="C11" s="2" t="s">
        <v>20</v>
      </c>
      <c r="E11" s="8" t="n">
        <f aca="false">$B$10*1.5</f>
        <v>3</v>
      </c>
      <c r="F11" s="9" t="n">
        <f aca="false">$B$12*((1-$B$19)*(-$K$27+$B$13*(1-F$6)*$K$24+$B$13*F$6*$K$25)-$B$13*(1-F$6)*$K$26-$E11*IF($B$11="USD",$B$35,1))-$B$20</f>
        <v>70638.8</v>
      </c>
      <c r="G11" s="9" t="n">
        <f aca="false">$B$12*((1-$B$19)*(-$K$27+$B$13*(1-G$6)*$K$24+$B$13*G$6*$K$25)-$B$13*(1-G$6)*$K$26-$E11*IF($B$11="USD",$B$35,1))-$B$20</f>
        <v>57398</v>
      </c>
      <c r="H11" s="9" t="n">
        <f aca="false">$B$12*((1-$B$19)*(-$K$27+$B$13*(1-H$6)*$K$24+$B$13*H$6*$K$25)-$B$13*(1-H$6)*$K$26-$E11*IF($B$11="USD",$B$35,1))-$B$20</f>
        <v>50777.6</v>
      </c>
      <c r="I11" s="9" t="n">
        <f aca="false">$B$12*((1-$B$19)*(-$K$27+$B$13*(1-I$6)*$K$24+$B$13*I$6*$K$25)-$B$13*(1-I$6)*$K$26-$E11*IF($B$11="USD",$B$35,1))-$B$20</f>
        <v>44157.2</v>
      </c>
      <c r="J11" s="9" t="n">
        <f aca="false">$B$12*((1-$B$19)*(-$K$27+$B$13*(1-J$6)*$K$24+$B$13*J$6*$K$25)-$B$13*(1-J$6)*$K$26-$E11*IF($B$11="USD",$B$35,1))-$B$20</f>
        <v>37536.8</v>
      </c>
      <c r="K11" s="9" t="n">
        <f aca="false">$B$12*((1-$B$19)*(-$K$27+$B$13*(1-K$6)*$K$24+$B$13*K$6*$K$25)-$B$13*(1-K$6)*$K$26-$E11*IF($B$11="USD",$B$35,1))-$B$20</f>
        <v>24296</v>
      </c>
      <c r="L11" s="9" t="n">
        <f aca="false">$B$12*((1-$B$19)*(-$K$27+$B$13*(1-L$6)*$K$24+$B$13*L$6*$K$25)-$B$13*(1-L$6)*$K$26-$E11*IF($B$11="USD",$B$35,1))-$B$20</f>
        <v>11055.2</v>
      </c>
    </row>
    <row r="12" customFormat="false" ht="15" hidden="false" customHeight="false" outlineLevel="0" collapsed="false">
      <c r="A12" s="4" t="s">
        <v>21</v>
      </c>
      <c r="B12" s="11" t="n">
        <v>1000</v>
      </c>
      <c r="C12" s="2" t="s">
        <v>22</v>
      </c>
      <c r="E12" s="8" t="n">
        <f aca="false">$B$10*2</f>
        <v>4</v>
      </c>
      <c r="F12" s="9" t="n">
        <f aca="false">$B$12*((1-$B$19)*(-$K$27+$B$13*(1-F$6)*$K$24+$B$13*F$6*$K$25)-$B$13*(1-F$6)*$K$26-$E12*IF($B$11="USD",$B$35,1))-$B$20</f>
        <v>61438.8</v>
      </c>
      <c r="G12" s="9" t="n">
        <f aca="false">$B$12*((1-$B$19)*(-$K$27+$B$13*(1-G$6)*$K$24+$B$13*G$6*$K$25)-$B$13*(1-G$6)*$K$26-$E12*IF($B$11="USD",$B$35,1))-$B$20</f>
        <v>48198</v>
      </c>
      <c r="H12" s="9" t="n">
        <f aca="false">$B$12*((1-$B$19)*(-$K$27+$B$13*(1-H$6)*$K$24+$B$13*H$6*$K$25)-$B$13*(1-H$6)*$K$26-$E12*IF($B$11="USD",$B$35,1))-$B$20</f>
        <v>41577.6</v>
      </c>
      <c r="I12" s="9" t="n">
        <f aca="false">$B$12*((1-$B$19)*(-$K$27+$B$13*(1-I$6)*$K$24+$B$13*I$6*$K$25)-$B$13*(1-I$6)*$K$26-$E12*IF($B$11="USD",$B$35,1))-$B$20</f>
        <v>34957.2</v>
      </c>
      <c r="J12" s="9" t="n">
        <f aca="false">$B$12*((1-$B$19)*(-$K$27+$B$13*(1-J$6)*$K$24+$B$13*J$6*$K$25)-$B$13*(1-J$6)*$K$26-$E12*IF($B$11="USD",$B$35,1))-$B$20</f>
        <v>28336.8</v>
      </c>
      <c r="K12" s="9" t="n">
        <f aca="false">$B$12*((1-$B$19)*(-$K$27+$B$13*(1-K$6)*$K$24+$B$13*K$6*$K$25)-$B$13*(1-K$6)*$K$26-$E12*IF($B$11="USD",$B$35,1))-$B$20</f>
        <v>15096</v>
      </c>
      <c r="L12" s="9" t="n">
        <f aca="false">$B$12*((1-$B$19)*(-$K$27+$B$13*(1-L$6)*$K$24+$B$13*L$6*$K$25)-$B$13*(1-L$6)*$K$26-$E12*IF($B$11="USD",$B$35,1))-$B$20</f>
        <v>1855.2</v>
      </c>
    </row>
    <row r="13" customFormat="false" ht="15" hidden="false" customHeight="false" outlineLevel="0" collapsed="false">
      <c r="A13" s="4" t="s">
        <v>23</v>
      </c>
      <c r="B13" s="12" t="n">
        <v>0.6</v>
      </c>
      <c r="C13" s="2" t="s">
        <v>24</v>
      </c>
      <c r="E13" s="8" t="n">
        <f aca="false">$B$10*2.5</f>
        <v>5</v>
      </c>
      <c r="F13" s="9" t="n">
        <f aca="false">$B$12*((1-$B$19)*(-$K$27+$B$13*(1-F$6)*$K$24+$B$13*F$6*$K$25)-$B$13*(1-F$6)*$K$26-$E13*IF($B$11="USD",$B$35,1))-$B$20</f>
        <v>52238.8</v>
      </c>
      <c r="G13" s="9" t="n">
        <f aca="false">$B$12*((1-$B$19)*(-$K$27+$B$13*(1-G$6)*$K$24+$B$13*G$6*$K$25)-$B$13*(1-G$6)*$K$26-$E13*IF($B$11="USD",$B$35,1))-$B$20</f>
        <v>38998</v>
      </c>
      <c r="H13" s="9" t="n">
        <f aca="false">$B$12*((1-$B$19)*(-$K$27+$B$13*(1-H$6)*$K$24+$B$13*H$6*$K$25)-$B$13*(1-H$6)*$K$26-$E13*IF($B$11="USD",$B$35,1))-$B$20</f>
        <v>32377.6</v>
      </c>
      <c r="I13" s="9" t="n">
        <f aca="false">$B$12*((1-$B$19)*(-$K$27+$B$13*(1-I$6)*$K$24+$B$13*I$6*$K$25)-$B$13*(1-I$6)*$K$26-$E13*IF($B$11="USD",$B$35,1))-$B$20</f>
        <v>25757.2</v>
      </c>
      <c r="J13" s="9" t="n">
        <f aca="false">$B$12*((1-$B$19)*(-$K$27+$B$13*(1-J$6)*$K$24+$B$13*J$6*$K$25)-$B$13*(1-J$6)*$K$26-$E13*IF($B$11="USD",$B$35,1))-$B$20</f>
        <v>19136.8</v>
      </c>
      <c r="K13" s="9" t="n">
        <f aca="false">$B$12*((1-$B$19)*(-$K$27+$B$13*(1-K$6)*$K$24+$B$13*K$6*$K$25)-$B$13*(1-K$6)*$K$26-$E13*IF($B$11="USD",$B$35,1))-$B$20</f>
        <v>5896</v>
      </c>
      <c r="L13" s="9" t="n">
        <f aca="false">$B$12*((1-$B$19)*(-$K$27+$B$13*(1-L$6)*$K$24+$B$13*L$6*$K$25)-$B$13*(1-L$6)*$K$26-$E13*IF($B$11="USD",$B$35,1))-$B$20</f>
        <v>-7344.80000000001</v>
      </c>
    </row>
    <row r="14" customFormat="false" ht="15" hidden="false" customHeight="false" outlineLevel="0" collapsed="false">
      <c r="A14" s="4" t="s">
        <v>25</v>
      </c>
      <c r="B14" s="12" t="n">
        <v>0.35</v>
      </c>
      <c r="C14" s="2" t="s">
        <v>26</v>
      </c>
      <c r="E14" s="2" t="s">
        <v>27</v>
      </c>
    </row>
    <row r="15" customFormat="false" ht="15" hidden="false" customHeight="false" outlineLevel="0" collapsed="false">
      <c r="A15" s="4" t="s">
        <v>28</v>
      </c>
      <c r="B15" s="12" t="n">
        <v>0</v>
      </c>
      <c r="C15" s="2" t="s">
        <v>29</v>
      </c>
    </row>
    <row r="16" customFormat="false" ht="15" hidden="false" customHeight="false" outlineLevel="0" collapsed="false">
      <c r="A16" s="4" t="s">
        <v>30</v>
      </c>
      <c r="B16" s="10" t="n">
        <v>0</v>
      </c>
      <c r="C16" s="2" t="s">
        <v>31</v>
      </c>
    </row>
    <row r="17" customFormat="false" ht="15" hidden="false" customHeight="false" outlineLevel="0" collapsed="false">
      <c r="A17" s="4" t="s">
        <v>32</v>
      </c>
      <c r="B17" s="10" t="n">
        <v>0</v>
      </c>
      <c r="C17" s="2" t="s">
        <v>33</v>
      </c>
    </row>
    <row r="18" customFormat="false" ht="15" hidden="false" customHeight="false" outlineLevel="0" collapsed="false">
      <c r="A18" s="4" t="s">
        <v>34</v>
      </c>
      <c r="B18" s="13" t="n">
        <v>0.5</v>
      </c>
      <c r="C18" s="2" t="s">
        <v>35</v>
      </c>
    </row>
    <row r="19" customFormat="false" ht="15" hidden="false" customHeight="false" outlineLevel="0" collapsed="false">
      <c r="A19" s="4" t="s">
        <v>36</v>
      </c>
      <c r="B19" s="12" t="n">
        <v>0.02</v>
      </c>
      <c r="C19" s="2" t="s">
        <v>37</v>
      </c>
    </row>
    <row r="20" customFormat="false" ht="15" hidden="false" customHeight="false" outlineLevel="0" collapsed="false">
      <c r="A20" s="4" t="s">
        <v>38</v>
      </c>
      <c r="B20" s="10" t="n">
        <v>0</v>
      </c>
      <c r="C20" s="2" t="s">
        <v>39</v>
      </c>
    </row>
    <row r="22" customFormat="false" ht="15" hidden="false" customHeight="false" outlineLevel="0" collapsed="false">
      <c r="A22" s="3" t="s">
        <v>40</v>
      </c>
      <c r="B22" s="3"/>
      <c r="C22" s="3"/>
      <c r="J22" s="2" t="s">
        <v>41</v>
      </c>
    </row>
    <row r="23" customFormat="false" ht="15" hidden="false" customHeight="false" outlineLevel="0" collapsed="false">
      <c r="A23" s="2" t="s">
        <v>42</v>
      </c>
      <c r="B23" s="14" t="n">
        <f aca="false">MATCH(B5,'COD Network Fees'!$A$5:$A$23,0)</f>
        <v>7</v>
      </c>
      <c r="C23" s="2" t="s">
        <v>43</v>
      </c>
      <c r="J23" s="2" t="s">
        <v>44</v>
      </c>
      <c r="K23" s="15" t="n">
        <f aca="false">B8+B15*B16</f>
        <v>299</v>
      </c>
    </row>
    <row r="24" customFormat="false" ht="15" hidden="false" customHeight="false" outlineLevel="0" collapsed="false">
      <c r="A24" s="4" t="s">
        <v>45</v>
      </c>
      <c r="B24" s="16" t="str">
        <f aca="false">INDEX('COD Network Fees'!$B$5:$B$23,$B$23)</f>
        <v>Morocco</v>
      </c>
      <c r="C24" s="2"/>
      <c r="J24" s="2" t="s">
        <v>46</v>
      </c>
      <c r="K24" s="15" t="n">
        <f aca="false">K23*(1-B34)-B27-B28-B15*B29-B30-B32-B33</f>
        <v>245</v>
      </c>
    </row>
    <row r="25" customFormat="false" ht="15" hidden="false" customHeight="false" outlineLevel="0" collapsed="false">
      <c r="A25" s="4" t="s">
        <v>47</v>
      </c>
      <c r="B25" s="16" t="str">
        <f aca="false">INDEX('COD Network Fees'!$C$5:$C$23,$B$23)</f>
        <v>MAD</v>
      </c>
      <c r="C25" s="2" t="s">
        <v>48</v>
      </c>
      <c r="J25" s="2" t="s">
        <v>49</v>
      </c>
      <c r="K25" s="15" t="n">
        <f aca="false">-(B27+B31+B32+B33)</f>
        <v>-21</v>
      </c>
    </row>
    <row r="26" customFormat="false" ht="15" hidden="false" customHeight="false" outlineLevel="0" collapsed="false">
      <c r="A26" s="4" t="s">
        <v>50</v>
      </c>
      <c r="B26" s="17" t="n">
        <f aca="false">IF($B$7="Yes",IF($B$6="Cosmetic",INDEX('COD Network Fees'!$G$5:$G$23,$B$23),INDEX('COD Network Fees'!$D$5:$D$23,$B$23)),0)</f>
        <v>2</v>
      </c>
      <c r="C26" s="2"/>
      <c r="J26" s="2" t="s">
        <v>51</v>
      </c>
      <c r="K26" s="15" t="n">
        <f aca="false">B9+B15*B17</f>
        <v>40</v>
      </c>
    </row>
    <row r="27" customFormat="false" ht="15" hidden="false" customHeight="false" outlineLevel="0" collapsed="false">
      <c r="A27" s="4" t="s">
        <v>52</v>
      </c>
      <c r="B27" s="17" t="n">
        <f aca="false">IF($B$7="Yes",IF($B$6="Cosmetic",INDEX('COD Network Fees'!$H$5:$H$23,$B$23),INDEX('COD Network Fees'!$E$5:$E$23,$B$23)),0)</f>
        <v>4</v>
      </c>
      <c r="C27" s="2"/>
      <c r="J27" s="2" t="s">
        <v>53</v>
      </c>
      <c r="K27" s="15" t="n">
        <f aca="false">B26</f>
        <v>2</v>
      </c>
    </row>
    <row r="28" customFormat="false" ht="15" hidden="false" customHeight="false" outlineLevel="0" collapsed="false">
      <c r="A28" s="4" t="s">
        <v>54</v>
      </c>
      <c r="B28" s="17" t="n">
        <f aca="false">IF($B$7="Yes",IF($B$6="Cosmetic",INDEX('COD Network Fees'!$I$5:$I$23,$B$23),INDEX('COD Network Fees'!$F$5:$F$23,$B$23)),0)</f>
        <v>7</v>
      </c>
      <c r="C28" s="2"/>
      <c r="J28" s="2" t="s">
        <v>55</v>
      </c>
      <c r="K28" s="15" t="n">
        <f aca="false">IF(B12=0,0,B20/B12)</f>
        <v>0</v>
      </c>
    </row>
    <row r="29" customFormat="false" ht="15" hidden="false" customHeight="false" outlineLevel="0" collapsed="false">
      <c r="A29" s="4" t="s">
        <v>56</v>
      </c>
      <c r="B29" s="17" t="n">
        <f aca="false">IF($B$7="Yes",INDEX('COD Network Fees'!$J$5:$J$23,$B$23),0)</f>
        <v>5</v>
      </c>
      <c r="C29" s="2"/>
      <c r="J29" s="2" t="s">
        <v>57</v>
      </c>
      <c r="K29" s="15" t="n">
        <f aca="false">B12*((1-B19)*(-K27+B13*K24)-B13*K26-B36-K28)</f>
        <v>99700</v>
      </c>
    </row>
    <row r="30" customFormat="false" ht="15" hidden="false" customHeight="false" outlineLevel="0" collapsed="false">
      <c r="A30" s="4" t="s">
        <v>58</v>
      </c>
      <c r="B30" s="17" t="n">
        <f aca="false">IF(AND($B$7="No",INDEX('COD Network Fees'!$M$5:$M$23,$B$23)&lt;&gt;""),INDEX('COD Network Fees'!$M$5:$M$23,$B$23),INDEX('COD Network Fees'!$K$5:$K$23,$B$23))</f>
        <v>35</v>
      </c>
      <c r="C30" s="2" t="s">
        <v>59</v>
      </c>
      <c r="J30" s="2" t="s">
        <v>60</v>
      </c>
      <c r="K30" s="15" t="n">
        <f aca="false">B12*B13*((1-B19)*(K25-K24)+K26)</f>
        <v>-132408</v>
      </c>
    </row>
    <row r="31" customFormat="false" ht="15" hidden="false" customHeight="false" outlineLevel="0" collapsed="false">
      <c r="A31" s="4" t="s">
        <v>61</v>
      </c>
      <c r="B31" s="17" t="n">
        <f aca="false">IF(AND($B$7="No",INDEX('COD Network Fees'!$M$5:$M$23,$B$23)&lt;&gt;""),INDEX('COD Network Fees'!$M$5:$M$23,$B$23),INDEX('COD Network Fees'!$L$5:$L$23,$B$23))</f>
        <v>9</v>
      </c>
      <c r="C31" s="2"/>
      <c r="J31" s="2" t="s">
        <v>62</v>
      </c>
      <c r="K31" s="15" t="n">
        <f aca="false">ROUND(K29+K30*B14-B63,6)</f>
        <v>0</v>
      </c>
    </row>
    <row r="32" customFormat="false" ht="15" hidden="false" customHeight="false" outlineLevel="0" collapsed="false">
      <c r="A32" s="4" t="s">
        <v>63</v>
      </c>
      <c r="B32" s="17" t="n">
        <f aca="false">INDEX('COD Network Fees'!$N$5:$N$23,$B$23)</f>
        <v>8</v>
      </c>
      <c r="C32" s="2" t="s">
        <v>64</v>
      </c>
    </row>
    <row r="33" customFormat="false" ht="15" hidden="false" customHeight="false" outlineLevel="0" collapsed="false">
      <c r="A33" s="4" t="s">
        <v>65</v>
      </c>
      <c r="B33" s="17" t="n">
        <f aca="false">MAX(0,$B$18-5)*INDEX('COD Network Fees'!$O$5:$O$23,$B$23)</f>
        <v>0</v>
      </c>
      <c r="C33" s="2" t="s">
        <v>66</v>
      </c>
    </row>
    <row r="34" customFormat="false" ht="15" hidden="false" customHeight="false" outlineLevel="0" collapsed="false">
      <c r="A34" s="4" t="s">
        <v>67</v>
      </c>
      <c r="B34" s="18" t="n">
        <f aca="false">INDEX('COD Network Fees'!$P$5:$P$23,$B$23)</f>
        <v>0</v>
      </c>
      <c r="C34" s="2"/>
    </row>
    <row r="35" customFormat="false" ht="15" hidden="false" customHeight="false" outlineLevel="0" collapsed="false">
      <c r="A35" s="4" t="s">
        <v>68</v>
      </c>
      <c r="B35" s="19" t="n">
        <f aca="false">INDEX('COD Network Fees'!$B$27:$B$29,MATCH($B$25,'COD Network Fees'!$A$27:$A$29,0))</f>
        <v>9.2</v>
      </c>
      <c r="C35" s="2" t="s">
        <v>69</v>
      </c>
    </row>
    <row r="36" customFormat="false" ht="15" hidden="false" customHeight="false" outlineLevel="0" collapsed="false">
      <c r="A36" s="4" t="s">
        <v>70</v>
      </c>
      <c r="B36" s="20" t="n">
        <f aca="false">IF($B$11="USD",$B$10*$B$35,$B$10)</f>
        <v>18.4</v>
      </c>
      <c r="C36" s="2"/>
    </row>
    <row r="38" customFormat="false" ht="15" hidden="false" customHeight="false" outlineLevel="0" collapsed="false">
      <c r="A38" s="3" t="s">
        <v>71</v>
      </c>
      <c r="B38" s="3"/>
      <c r="C38" s="3"/>
    </row>
    <row r="39" customFormat="false" ht="15" hidden="false" customHeight="false" outlineLevel="0" collapsed="false">
      <c r="A39" s="4" t="s">
        <v>72</v>
      </c>
      <c r="B39" s="21" t="n">
        <f aca="false">B12</f>
        <v>1000</v>
      </c>
      <c r="C39" s="2"/>
    </row>
    <row r="40" customFormat="false" ht="15" hidden="false" customHeight="false" outlineLevel="0" collapsed="false">
      <c r="A40" s="4" t="s">
        <v>73</v>
      </c>
      <c r="B40" s="21" t="n">
        <f aca="false">B39*B13</f>
        <v>600</v>
      </c>
      <c r="C40" s="2"/>
    </row>
    <row r="41" customFormat="false" ht="15" hidden="false" customHeight="false" outlineLevel="0" collapsed="false">
      <c r="A41" s="4" t="s">
        <v>74</v>
      </c>
      <c r="B41" s="21" t="n">
        <f aca="false">B40*(1-B14)</f>
        <v>390</v>
      </c>
      <c r="C41" s="2"/>
    </row>
    <row r="42" customFormat="false" ht="15" hidden="false" customHeight="false" outlineLevel="0" collapsed="false">
      <c r="A42" s="4" t="s">
        <v>75</v>
      </c>
      <c r="B42" s="21" t="n">
        <f aca="false">B40*B14</f>
        <v>210</v>
      </c>
      <c r="C42" s="2"/>
    </row>
    <row r="43" customFormat="false" ht="15" hidden="false" customHeight="false" outlineLevel="0" collapsed="false">
      <c r="A43" s="4" t="s">
        <v>76</v>
      </c>
      <c r="B43" s="21" t="n">
        <f aca="false">B41*B15</f>
        <v>0</v>
      </c>
      <c r="C43" s="2"/>
    </row>
    <row r="44" customFormat="false" ht="15" hidden="false" customHeight="false" outlineLevel="0" collapsed="false">
      <c r="A44" s="4" t="s">
        <v>77</v>
      </c>
      <c r="B44" s="22" t="n">
        <f aca="false">IF(B39=0,0,B41/B39)</f>
        <v>0.39</v>
      </c>
      <c r="C44" s="2" t="s">
        <v>78</v>
      </c>
    </row>
    <row r="46" customFormat="false" ht="15" hidden="false" customHeight="false" outlineLevel="0" collapsed="false">
      <c r="A46" s="3" t="s">
        <v>79</v>
      </c>
      <c r="B46" s="3"/>
      <c r="C46" s="3"/>
    </row>
    <row r="47" customFormat="false" ht="15" hidden="false" customHeight="false" outlineLevel="0" collapsed="false">
      <c r="A47" s="4" t="s">
        <v>80</v>
      </c>
      <c r="B47" s="21" t="n">
        <f aca="false">B41*B8</f>
        <v>116610</v>
      </c>
      <c r="C47" s="2"/>
    </row>
    <row r="48" customFormat="false" ht="15" hidden="false" customHeight="false" outlineLevel="0" collapsed="false">
      <c r="A48" s="4" t="s">
        <v>81</v>
      </c>
      <c r="B48" s="21" t="n">
        <f aca="false">B43*B16</f>
        <v>0</v>
      </c>
      <c r="C48" s="2"/>
    </row>
    <row r="49" customFormat="false" ht="15" hidden="false" customHeight="false" outlineLevel="0" collapsed="false">
      <c r="A49" s="23" t="s">
        <v>82</v>
      </c>
      <c r="B49" s="24" t="n">
        <f aca="false">B47+B48</f>
        <v>116610</v>
      </c>
      <c r="C49" s="2"/>
    </row>
    <row r="50" customFormat="false" ht="15" hidden="false" customHeight="false" outlineLevel="0" collapsed="false">
      <c r="A50" s="4" t="s">
        <v>83</v>
      </c>
      <c r="B50" s="21" t="n">
        <f aca="false">B39*B26+B40*B27+B41*B28+B43*B29</f>
        <v>7130</v>
      </c>
      <c r="C50" s="2" t="s">
        <v>84</v>
      </c>
    </row>
    <row r="51" customFormat="false" ht="15" hidden="false" customHeight="false" outlineLevel="0" collapsed="false">
      <c r="A51" s="4" t="s">
        <v>85</v>
      </c>
      <c r="B51" s="21" t="n">
        <f aca="false">B41*B30</f>
        <v>13650</v>
      </c>
      <c r="C51" s="2"/>
    </row>
    <row r="52" customFormat="false" ht="15" hidden="false" customHeight="false" outlineLevel="0" collapsed="false">
      <c r="A52" s="4" t="s">
        <v>86</v>
      </c>
      <c r="B52" s="21" t="n">
        <f aca="false">B42*B31</f>
        <v>1890</v>
      </c>
      <c r="C52" s="2"/>
    </row>
    <row r="53" customFormat="false" ht="15" hidden="false" customHeight="false" outlineLevel="0" collapsed="false">
      <c r="A53" s="4" t="s">
        <v>87</v>
      </c>
      <c r="B53" s="21" t="n">
        <f aca="false">B40*B32</f>
        <v>4800</v>
      </c>
      <c r="C53" s="2"/>
    </row>
    <row r="54" customFormat="false" ht="15" hidden="false" customHeight="false" outlineLevel="0" collapsed="false">
      <c r="A54" s="4" t="s">
        <v>88</v>
      </c>
      <c r="B54" s="21" t="n">
        <f aca="false">B40*B33</f>
        <v>0</v>
      </c>
      <c r="C54" s="2"/>
    </row>
    <row r="55" customFormat="false" ht="15" hidden="false" customHeight="false" outlineLevel="0" collapsed="false">
      <c r="A55" s="4" t="s">
        <v>89</v>
      </c>
      <c r="B55" s="21" t="n">
        <f aca="false">B49*B34</f>
        <v>0</v>
      </c>
      <c r="C55" s="2"/>
    </row>
    <row r="56" customFormat="false" ht="15" hidden="false" customHeight="false" outlineLevel="0" collapsed="false">
      <c r="A56" s="23" t="s">
        <v>90</v>
      </c>
      <c r="B56" s="24" t="n">
        <f aca="false">SUM(B50:B55)</f>
        <v>27470</v>
      </c>
      <c r="C56" s="2"/>
    </row>
    <row r="57" customFormat="false" ht="15" hidden="false" customHeight="false" outlineLevel="0" collapsed="false">
      <c r="A57" s="23" t="s">
        <v>91</v>
      </c>
      <c r="B57" s="24" t="n">
        <f aca="false">B49-B56</f>
        <v>89140</v>
      </c>
      <c r="C57" s="2" t="s">
        <v>92</v>
      </c>
    </row>
    <row r="58" customFormat="false" ht="15" hidden="false" customHeight="false" outlineLevel="0" collapsed="false">
      <c r="A58" s="4" t="s">
        <v>93</v>
      </c>
      <c r="B58" s="21" t="n">
        <f aca="false">B57*B19</f>
        <v>1782.8</v>
      </c>
      <c r="C58" s="2"/>
    </row>
    <row r="59" customFormat="false" ht="15" hidden="false" customHeight="false" outlineLevel="0" collapsed="false">
      <c r="A59" s="4" t="s">
        <v>94</v>
      </c>
      <c r="B59" s="21" t="n">
        <f aca="false">B39*B36</f>
        <v>18400</v>
      </c>
      <c r="C59" s="2" t="s">
        <v>95</v>
      </c>
    </row>
    <row r="60" customFormat="false" ht="15" hidden="false" customHeight="false" outlineLevel="0" collapsed="false">
      <c r="A60" s="4" t="s">
        <v>96</v>
      </c>
      <c r="B60" s="21" t="n">
        <f aca="false">B41*B9+B43*B17</f>
        <v>15600</v>
      </c>
      <c r="C60" s="2" t="s">
        <v>97</v>
      </c>
    </row>
    <row r="61" customFormat="false" ht="15" hidden="false" customHeight="false" outlineLevel="0" collapsed="false">
      <c r="A61" s="4" t="s">
        <v>98</v>
      </c>
      <c r="B61" s="21" t="n">
        <f aca="false">B20</f>
        <v>0</v>
      </c>
      <c r="C61" s="2"/>
    </row>
    <row r="62" customFormat="false" ht="15" hidden="false" customHeight="false" outlineLevel="0" collapsed="false">
      <c r="A62" s="23" t="s">
        <v>99</v>
      </c>
      <c r="B62" s="24" t="n">
        <f aca="false">B56+B58+B59+B60+B61</f>
        <v>63252.8</v>
      </c>
      <c r="C62" s="2"/>
    </row>
    <row r="63" customFormat="false" ht="16.15" hidden="false" customHeight="false" outlineLevel="0" collapsed="false">
      <c r="A63" s="25" t="s">
        <v>100</v>
      </c>
      <c r="B63" s="26" t="n">
        <f aca="false">B49-B62</f>
        <v>53357.2</v>
      </c>
      <c r="C63" s="27" t="str">
        <f aca="false">"Net profit in USD: "&amp;TEXT(B63/B35,"#,##0")</f>
        <v>Net profit in USD: 5,800</v>
      </c>
    </row>
    <row r="65" customFormat="false" ht="15" hidden="false" customHeight="false" outlineLevel="0" collapsed="false">
      <c r="A65" s="3" t="s">
        <v>101</v>
      </c>
      <c r="B65" s="3"/>
      <c r="C65" s="3"/>
    </row>
    <row r="66" customFormat="false" ht="15" hidden="false" customHeight="false" outlineLevel="0" collapsed="false">
      <c r="A66" s="4" t="s">
        <v>102</v>
      </c>
      <c r="B66" s="20" t="n">
        <f aca="false">IF(B41=0,0,B63/B41)</f>
        <v>136.813333333333</v>
      </c>
      <c r="C66" s="2"/>
    </row>
    <row r="67" customFormat="false" ht="15" hidden="false" customHeight="false" outlineLevel="0" collapsed="false">
      <c r="A67" s="4" t="s">
        <v>103</v>
      </c>
      <c r="B67" s="22" t="n">
        <f aca="false">IF(B49=0,0,B63/B49)</f>
        <v>0.457569676700111</v>
      </c>
      <c r="C67" s="2"/>
    </row>
    <row r="68" customFormat="false" ht="15" hidden="false" customHeight="false" outlineLevel="0" collapsed="false">
      <c r="A68" s="4" t="s">
        <v>104</v>
      </c>
      <c r="B68" s="22" t="n">
        <f aca="false">IF((B59+B60)=0,0,B63/(B59+B60))</f>
        <v>1.56932941176471</v>
      </c>
      <c r="C68" s="2"/>
    </row>
    <row r="69" customFormat="false" ht="15" hidden="false" customHeight="false" outlineLevel="0" collapsed="false">
      <c r="A69" s="4" t="s">
        <v>105</v>
      </c>
      <c r="B69" s="28" t="n">
        <f aca="false">IF(B59=0,0,B49/B59)</f>
        <v>6.3375</v>
      </c>
      <c r="C69" s="2"/>
    </row>
    <row r="70" customFormat="false" ht="15" hidden="false" customHeight="false" outlineLevel="0" collapsed="false">
      <c r="A70" s="4" t="s">
        <v>106</v>
      </c>
      <c r="B70" s="20" t="n">
        <f aca="false">IF(B41=0,0,B59/B41)</f>
        <v>47.1794871794872</v>
      </c>
      <c r="C70" s="2"/>
    </row>
    <row r="71" customFormat="false" ht="15" hidden="false" customHeight="false" outlineLevel="0" collapsed="false">
      <c r="A71" s="4" t="s">
        <v>107</v>
      </c>
      <c r="B71" s="20" t="n">
        <f aca="false">IF(B41=0,0,(B62-B60)/B41)</f>
        <v>122.186666666667</v>
      </c>
      <c r="C71" s="2" t="s">
        <v>108</v>
      </c>
    </row>
    <row r="72" customFormat="false" ht="15" hidden="false" customHeight="false" outlineLevel="0" collapsed="false">
      <c r="A72" s="23" t="s">
        <v>109</v>
      </c>
      <c r="B72" s="29" t="n">
        <f aca="false">IF(B39=0,0,(B63+B59)/B39/IF($B$11="USD",$B$35,1))</f>
        <v>7.79969565217391</v>
      </c>
      <c r="C72" s="2" t="str">
        <f aca="false">"Max you can pay per lead, in "&amp;IF($B$11="USD","USD",B25)</f>
        <v>Max you can pay per lead, in USD</v>
      </c>
    </row>
    <row r="73" customFormat="false" ht="15" hidden="false" customHeight="false" outlineLevel="0" collapsed="false">
      <c r="A73" s="23" t="s">
        <v>110</v>
      </c>
      <c r="B73" s="29" t="n">
        <f aca="false">IF(B41*(1-B34)*(1-B19)=0,0,B8-B63/(B41*(1-B34)*(1-B19)))</f>
        <v>159.394557823129</v>
      </c>
      <c r="C73" s="2" t="str">
        <f aca="false">"Lowest price with zero profit, in "&amp;B25</f>
        <v>Lowest price with zero profit, in MAD</v>
      </c>
    </row>
    <row r="74" customFormat="false" ht="15" hidden="false" customHeight="false" outlineLevel="0" collapsed="false">
      <c r="A74" s="23" t="s">
        <v>111</v>
      </c>
      <c r="B74" s="30" t="n">
        <f aca="false">IF(K30&gt;=0,"n/a",IF(-K29/K30&lt;0,"Loss even at 0%",IF(-K29/K30&gt;1,"Profit at any rate",-K29/K30)))</f>
        <v>0.752975651018065</v>
      </c>
      <c r="C74" s="2" t="s">
        <v>112</v>
      </c>
    </row>
  </sheetData>
  <mergeCells count="7">
    <mergeCell ref="A1:C1"/>
    <mergeCell ref="A4:C4"/>
    <mergeCell ref="E4:L4"/>
    <mergeCell ref="A22:C22"/>
    <mergeCell ref="A38:C38"/>
    <mergeCell ref="A46:C46"/>
    <mergeCell ref="A65:C65"/>
  </mergeCells>
  <conditionalFormatting sqref="B6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F7:L13">
    <cfRule type="colorScale" priority="4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dataValidations count="5">
    <dataValidation allowBlank="false" errorStyle="stop" operator="between" showDropDown="false" showErrorMessage="false" showInputMessage="false" sqref="B5" type="list">
      <formula1>'COD Network Fees'!$A$5:$A$23</formula1>
      <formula2>0</formula2>
    </dataValidation>
    <dataValidation allowBlank="false" errorStyle="stop" operator="between" showDropDown="false" showErrorMessage="false" showInputMessage="false" sqref="B6" type="list">
      <formula1>"Gadget,Cosmetic"</formula1>
      <formula2>0</formula2>
    </dataValidation>
    <dataValidation allowBlank="false" errorStyle="stop" operator="between" showDropDown="false" showErrorMessage="false" showInputMessage="false" sqref="B7" type="list">
      <formula1>"Yes,No"</formula1>
      <formula2>0</formula2>
    </dataValidation>
    <dataValidation allowBlank="false" errorStyle="stop" operator="between" showDropDown="false" showErrorMessage="false" showInputMessage="false" sqref="B11" type="list">
      <formula1>"USD,Market currency"</formula1>
      <formula2>0</formula2>
    </dataValidation>
    <dataValidation allowBlank="false" error="Enter a percentage between 0% and 100%" errorStyle="stop" operator="between" showDropDown="false" showErrorMessage="false" showInputMessage="false" sqref="B13:B15 B1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7" min="5" style="0" width="11"/>
    <col collapsed="false" customWidth="true" hidden="false" outlineLevel="0" max="8" min="8" style="0" width="15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4" min="13" style="0" width="10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8" min="17" style="0" width="12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1"/>
    <col collapsed="false" customWidth="true" hidden="false" outlineLevel="0" max="26" min="25" style="0" width="9"/>
    <col collapsed="false" customWidth="true" hidden="false" outlineLevel="0" max="27" min="27" style="0" width="12"/>
    <col collapsed="false" customWidth="true" hidden="false" outlineLevel="0" max="28" min="28" style="0" width="6"/>
  </cols>
  <sheetData>
    <row r="1" customFormat="false" ht="17.35" hidden="false" customHeight="false" outlineLevel="0" collapsed="false">
      <c r="A1" s="31" t="s">
        <v>113</v>
      </c>
    </row>
    <row r="2" customFormat="false" ht="15" hidden="false" customHeight="false" outlineLevel="0" collapsed="false">
      <c r="A2" s="2" t="s">
        <v>114</v>
      </c>
    </row>
    <row r="4" customFormat="false" ht="31.5" hidden="false" customHeight="true" outlineLevel="0" collapsed="false">
      <c r="A4" s="32" t="s">
        <v>115</v>
      </c>
      <c r="B4" s="32" t="s">
        <v>116</v>
      </c>
      <c r="C4" s="32" t="s">
        <v>117</v>
      </c>
      <c r="D4" s="32" t="s">
        <v>118</v>
      </c>
      <c r="E4" s="32" t="s">
        <v>14</v>
      </c>
      <c r="F4" s="32" t="s">
        <v>119</v>
      </c>
      <c r="G4" s="32" t="s">
        <v>120</v>
      </c>
      <c r="H4" s="32" t="s">
        <v>121</v>
      </c>
      <c r="I4" s="32" t="s">
        <v>72</v>
      </c>
      <c r="J4" s="32" t="s">
        <v>23</v>
      </c>
      <c r="K4" s="32" t="s">
        <v>25</v>
      </c>
      <c r="L4" s="33" t="s">
        <v>47</v>
      </c>
      <c r="M4" s="33" t="s">
        <v>122</v>
      </c>
      <c r="N4" s="33" t="s">
        <v>123</v>
      </c>
      <c r="O4" s="33" t="s">
        <v>124</v>
      </c>
      <c r="P4" s="33" t="s">
        <v>94</v>
      </c>
      <c r="Q4" s="33" t="s">
        <v>125</v>
      </c>
      <c r="R4" s="33" t="s">
        <v>83</v>
      </c>
      <c r="S4" s="33" t="s">
        <v>126</v>
      </c>
      <c r="T4" s="33" t="s">
        <v>87</v>
      </c>
      <c r="U4" s="33" t="s">
        <v>89</v>
      </c>
      <c r="V4" s="33" t="s">
        <v>127</v>
      </c>
      <c r="W4" s="33" t="s">
        <v>100</v>
      </c>
      <c r="X4" s="33" t="s">
        <v>128</v>
      </c>
      <c r="Y4" s="33" t="s">
        <v>129</v>
      </c>
      <c r="Z4" s="33" t="s">
        <v>130</v>
      </c>
      <c r="AA4" s="33" t="s">
        <v>131</v>
      </c>
      <c r="AB4" s="33" t="s">
        <v>132</v>
      </c>
    </row>
    <row r="5" customFormat="false" ht="15" hidden="false" customHeight="false" outlineLevel="0" collapsed="false">
      <c r="A5" s="34" t="s">
        <v>133</v>
      </c>
      <c r="B5" s="34" t="s">
        <v>5</v>
      </c>
      <c r="C5" s="34" t="s">
        <v>8</v>
      </c>
      <c r="D5" s="34" t="s">
        <v>12</v>
      </c>
      <c r="E5" s="35" t="n">
        <v>299</v>
      </c>
      <c r="F5" s="35" t="n">
        <v>40</v>
      </c>
      <c r="G5" s="35" t="n">
        <v>2</v>
      </c>
      <c r="H5" s="34" t="s">
        <v>19</v>
      </c>
      <c r="I5" s="36" t="n">
        <v>1000</v>
      </c>
      <c r="J5" s="37" t="n">
        <v>0.6</v>
      </c>
      <c r="K5" s="37" t="n">
        <v>0.35</v>
      </c>
      <c r="L5" s="38" t="str">
        <f aca="false">IF($AB5="","",INDEX('COD Network Fees'!$C$5:$C$23,$AB5))</f>
        <v>MAD</v>
      </c>
      <c r="M5" s="9" t="n">
        <f aca="false">IF($AB5="","",$I5*$J5)</f>
        <v>600</v>
      </c>
      <c r="N5" s="9" t="n">
        <f aca="false">IF($AB5="","",$M5*(1-$K5))</f>
        <v>390</v>
      </c>
      <c r="O5" s="9" t="n">
        <f aca="false">IF($AB5="","",$N5*$E5)</f>
        <v>116610</v>
      </c>
      <c r="P5" s="9" t="n">
        <f aca="false">IF($AB5="","",$I5*$G5*IF($H5="USD",INDEX('COD Network Fees'!$B$27:$B$29,MATCH($L5,'COD Network Fees'!$A$27:$A$29,0)),1))</f>
        <v>18400</v>
      </c>
      <c r="Q5" s="9" t="n">
        <f aca="false">IF($AB5="","",$N5*$F5)</f>
        <v>15600</v>
      </c>
      <c r="R5" s="9" t="n">
        <f aca="false">IF($AB5="","",IF($D5="Yes",1,0)*($I5*IF($C5="Cosmetic",INDEX('COD Network Fees'!$G$5:$G$23,$AB5),INDEX('COD Network Fees'!$D$5:$D$23,$AB5))+$M5*IF($C5="Cosmetic",INDEX('COD Network Fees'!$H$5:$H$23,$AB5),INDEX('COD Network Fees'!$E$5:$E$23,$AB5))+$N5*IF($C5="Cosmetic",INDEX('COD Network Fees'!$I$5:$I$23,$AB5),INDEX('COD Network Fees'!$F$5:$F$23,$AB5))))</f>
        <v>7130</v>
      </c>
      <c r="S5" s="9" t="n">
        <f aca="false">IF($AB5="","",$N5*IF(AND($D5="No",INDEX('COD Network Fees'!$M$5:$M$23,$AB5)&lt;&gt;""),INDEX('COD Network Fees'!$M$5:$M$23,$AB5),INDEX('COD Network Fees'!$K$5:$K$23,$AB5))+($M5-$N5)*IF(AND($D5="No",INDEX('COD Network Fees'!$M$5:$M$23,$AB5)&lt;&gt;""),INDEX('COD Network Fees'!$M$5:$M$23,$AB5),INDEX('COD Network Fees'!$L$5:$L$23,$AB5)))</f>
        <v>15540</v>
      </c>
      <c r="T5" s="9" t="n">
        <f aca="false">IF($AB5="","",$M5*INDEX('COD Network Fees'!$N$5:$N$23,$AB5))</f>
        <v>4800</v>
      </c>
      <c r="U5" s="9" t="n">
        <f aca="false">IF($AB5="","",$O5*INDEX('COD Network Fees'!$P$5:$P$23,$AB5))</f>
        <v>0</v>
      </c>
      <c r="V5" s="9" t="n">
        <f aca="false">IF($AB5="","",($O5-$R5-$S5-$T5-$U5)*Calculator!$B$19)</f>
        <v>1782.8</v>
      </c>
      <c r="W5" s="39" t="n">
        <f aca="false">IF($AB5="","",$O5-$P5-$Q5-$R5-$S5-$T5-$U5-$V5)</f>
        <v>53357.2</v>
      </c>
      <c r="X5" s="40" t="n">
        <f aca="false">IF($AB5="","",IF($N5=0,0,$W5/$N5))</f>
        <v>136.813333333333</v>
      </c>
      <c r="Y5" s="41" t="n">
        <f aca="false">IF($AB5="","",IF($O5=0,0,$W5/$O5))</f>
        <v>0.457569676700111</v>
      </c>
      <c r="Z5" s="41" t="n">
        <f aca="false">IF($AB5="","",IF(($P5+$Q5)=0,0,$W5/($P5+$Q5)))</f>
        <v>1.56932941176471</v>
      </c>
      <c r="AA5" s="40" t="n">
        <f aca="false">IF($AB5="","",IF($I5=0,0,($W5+$P5)/$I5/IF($H5="USD",INDEX('COD Network Fees'!$B$27:$B$29,MATCH($L5,'COD Network Fees'!$A$27:$A$29,0)),1)))</f>
        <v>7.79969565217391</v>
      </c>
      <c r="AB5" s="42" t="n">
        <f aca="false">IF($B5="","",MATCH($B5,'COD Network Fees'!$A$5:$A$23,0))</f>
        <v>7</v>
      </c>
    </row>
    <row r="6" customFormat="false" ht="15" hidden="false" customHeight="false" outlineLevel="0" collapsed="false">
      <c r="A6" s="34" t="s">
        <v>134</v>
      </c>
      <c r="B6" s="34" t="s">
        <v>135</v>
      </c>
      <c r="C6" s="34" t="s">
        <v>136</v>
      </c>
      <c r="D6" s="34" t="s">
        <v>12</v>
      </c>
      <c r="E6" s="35" t="n">
        <v>39</v>
      </c>
      <c r="F6" s="35" t="n">
        <v>6</v>
      </c>
      <c r="G6" s="35" t="n">
        <v>3</v>
      </c>
      <c r="H6" s="34" t="s">
        <v>19</v>
      </c>
      <c r="I6" s="36" t="n">
        <v>500</v>
      </c>
      <c r="J6" s="37" t="n">
        <v>0.55</v>
      </c>
      <c r="K6" s="37" t="n">
        <v>0.3</v>
      </c>
      <c r="L6" s="38" t="str">
        <f aca="false">IF($AB6="","",INDEX('COD Network Fees'!$C$5:$C$23,$AB6))</f>
        <v>USD</v>
      </c>
      <c r="M6" s="9" t="n">
        <f aca="false">IF($AB6="","",$I6*$J6)</f>
        <v>275</v>
      </c>
      <c r="N6" s="9" t="n">
        <f aca="false">IF($AB6="","",$M6*(1-$K6))</f>
        <v>192.5</v>
      </c>
      <c r="O6" s="9" t="n">
        <f aca="false">IF($AB6="","",$N6*$E6)</f>
        <v>7507.5</v>
      </c>
      <c r="P6" s="9" t="n">
        <f aca="false">IF($AB6="","",$I6*$G6*IF($H6="USD",INDEX('COD Network Fees'!$B$27:$B$29,MATCH($L6,'COD Network Fees'!$A$27:$A$29,0)),1))</f>
        <v>1500</v>
      </c>
      <c r="Q6" s="9" t="n">
        <f aca="false">IF($AB6="","",$N6*$F6)</f>
        <v>1155</v>
      </c>
      <c r="R6" s="9" t="n">
        <f aca="false">IF($AB6="","",IF($D6="Yes",1,0)*($I6*IF($C6="Cosmetic",INDEX('COD Network Fees'!$G$5:$G$23,$AB6),INDEX('COD Network Fees'!$D$5:$D$23,$AB6))+$M6*IF($C6="Cosmetic",INDEX('COD Network Fees'!$H$5:$H$23,$AB6),INDEX('COD Network Fees'!$E$5:$E$23,$AB6))+$N6*IF($C6="Cosmetic",INDEX('COD Network Fees'!$I$5:$I$23,$AB6),INDEX('COD Network Fees'!$F$5:$F$23,$AB6))))</f>
        <v>1377.5</v>
      </c>
      <c r="S6" s="9" t="n">
        <f aca="false">IF($AB6="","",$N6*IF(AND($D6="No",INDEX('COD Network Fees'!$M$5:$M$23,$AB6)&lt;&gt;""),INDEX('COD Network Fees'!$M$5:$M$23,$AB6),INDEX('COD Network Fees'!$K$5:$K$23,$AB6))+($M6-$N6)*IF(AND($D6="No",INDEX('COD Network Fees'!$M$5:$M$23,$AB6)&lt;&gt;""),INDEX('COD Network Fees'!$M$5:$M$23,$AB6),INDEX('COD Network Fees'!$L$5:$L$23,$AB6)))</f>
        <v>1207.25</v>
      </c>
      <c r="T6" s="9" t="n">
        <f aca="false">IF($AB6="","",$M6*INDEX('COD Network Fees'!$N$5:$N$23,$AB6))</f>
        <v>0</v>
      </c>
      <c r="U6" s="9" t="n">
        <f aca="false">IF($AB6="","",$O6*INDEX('COD Network Fees'!$P$5:$P$23,$AB6))</f>
        <v>375.375</v>
      </c>
      <c r="V6" s="9" t="n">
        <f aca="false">IF($AB6="","",($O6-$R6-$S6-$T6-$U6)*Calculator!$B$19)</f>
        <v>90.9475</v>
      </c>
      <c r="W6" s="39" t="n">
        <f aca="false">IF($AB6="","",$O6-$P6-$Q6-$R6-$S6-$T6-$U6-$V6)</f>
        <v>1801.4275</v>
      </c>
      <c r="X6" s="40" t="n">
        <f aca="false">IF($AB6="","",IF($N6=0,0,$W6/$N6))</f>
        <v>9.35806493506494</v>
      </c>
      <c r="Y6" s="41" t="n">
        <f aca="false">IF($AB6="","",IF($O6=0,0,$W6/$O6))</f>
        <v>0.239950382950383</v>
      </c>
      <c r="Z6" s="41" t="n">
        <f aca="false">IF($AB6="","",IF(($P6+$Q6)=0,0,$W6/($P6+$Q6)))</f>
        <v>0.678503766478343</v>
      </c>
      <c r="AA6" s="40" t="n">
        <f aca="false">IF($AB6="","",IF($I6=0,0,($W6+$P6)/$I6/IF($H6="USD",INDEX('COD Network Fees'!$B$27:$B$29,MATCH($L6,'COD Network Fees'!$A$27:$A$29,0)),1)))</f>
        <v>6.602855</v>
      </c>
      <c r="AB6" s="42" t="n">
        <f aca="false">IF($B6="","",MATCH($B6,'COD Network Fees'!$A$5:$A$23,0))</f>
        <v>2</v>
      </c>
    </row>
    <row r="7" customFormat="false" ht="15" hidden="false" customHeight="false" outlineLevel="0" collapsed="false">
      <c r="A7" s="34" t="s">
        <v>137</v>
      </c>
      <c r="B7" s="34" t="s">
        <v>138</v>
      </c>
      <c r="C7" s="34" t="s">
        <v>136</v>
      </c>
      <c r="D7" s="34" t="s">
        <v>12</v>
      </c>
      <c r="E7" s="35" t="n">
        <v>39.9</v>
      </c>
      <c r="F7" s="35" t="n">
        <v>5</v>
      </c>
      <c r="G7" s="35" t="n">
        <v>2.5</v>
      </c>
      <c r="H7" s="34" t="s">
        <v>139</v>
      </c>
      <c r="I7" s="36" t="n">
        <v>500</v>
      </c>
      <c r="J7" s="37" t="n">
        <v>0.65</v>
      </c>
      <c r="K7" s="37" t="n">
        <v>0.25</v>
      </c>
      <c r="L7" s="38" t="str">
        <f aca="false">IF($AB7="","",INDEX('COD Network Fees'!$C$5:$C$23,$AB7))</f>
        <v>EUR</v>
      </c>
      <c r="M7" s="9" t="n">
        <f aca="false">IF($AB7="","",$I7*$J7)</f>
        <v>325</v>
      </c>
      <c r="N7" s="9" t="n">
        <f aca="false">IF($AB7="","",$M7*(1-$K7))</f>
        <v>243.75</v>
      </c>
      <c r="O7" s="9" t="n">
        <f aca="false">IF($AB7="","",$N7*$E7)</f>
        <v>9725.625</v>
      </c>
      <c r="P7" s="9" t="n">
        <f aca="false">IF($AB7="","",$I7*$G7*IF($H7="USD",INDEX('COD Network Fees'!$B$27:$B$29,MATCH($L7,'COD Network Fees'!$A$27:$A$29,0)),1))</f>
        <v>1250</v>
      </c>
      <c r="Q7" s="9" t="n">
        <f aca="false">IF($AB7="","",$N7*$F7)</f>
        <v>1218.75</v>
      </c>
      <c r="R7" s="9" t="n">
        <f aca="false">IF($AB7="","",IF($D7="Yes",1,0)*($I7*IF($C7="Cosmetic",INDEX('COD Network Fees'!$G$5:$G$23,$AB7),INDEX('COD Network Fees'!$D$5:$D$23,$AB7))+$M7*IF($C7="Cosmetic",INDEX('COD Network Fees'!$H$5:$H$23,$AB7),INDEX('COD Network Fees'!$E$5:$E$23,$AB7))+$N7*IF($C7="Cosmetic",INDEX('COD Network Fees'!$I$5:$I$23,$AB7),INDEX('COD Network Fees'!$F$5:$F$23,$AB7))))</f>
        <v>1062.5</v>
      </c>
      <c r="S7" s="9" t="n">
        <f aca="false">IF($AB7="","",$N7*IF(AND($D7="No",INDEX('COD Network Fees'!$M$5:$M$23,$AB7)&lt;&gt;""),INDEX('COD Network Fees'!$M$5:$M$23,$AB7),INDEX('COD Network Fees'!$K$5:$K$23,$AB7))+($M7-$N7)*IF(AND($D7="No",INDEX('COD Network Fees'!$M$5:$M$23,$AB7)&lt;&gt;""),INDEX('COD Network Fees'!$M$5:$M$23,$AB7),INDEX('COD Network Fees'!$L$5:$L$23,$AB7)))</f>
        <v>2515.5</v>
      </c>
      <c r="T7" s="9" t="n">
        <f aca="false">IF($AB7="","",$M7*INDEX('COD Network Fees'!$N$5:$N$23,$AB7))</f>
        <v>0</v>
      </c>
      <c r="U7" s="9" t="n">
        <f aca="false">IF($AB7="","",$O7*INDEX('COD Network Fees'!$P$5:$P$23,$AB7))</f>
        <v>486.28125</v>
      </c>
      <c r="V7" s="9" t="n">
        <f aca="false">IF($AB7="","",($O7-$R7-$S7-$T7-$U7)*Calculator!$B$19)</f>
        <v>113.226875</v>
      </c>
      <c r="W7" s="39" t="n">
        <f aca="false">IF($AB7="","",$O7-$P7-$Q7-$R7-$S7-$T7-$U7-$V7)</f>
        <v>3079.366875</v>
      </c>
      <c r="X7" s="40" t="n">
        <f aca="false">IF($AB7="","",IF($N7=0,0,$W7/$N7))</f>
        <v>12.6333</v>
      </c>
      <c r="Y7" s="41" t="n">
        <f aca="false">IF($AB7="","",IF($O7=0,0,$W7/$O7))</f>
        <v>0.316624060150376</v>
      </c>
      <c r="Z7" s="41" t="n">
        <f aca="false">IF($AB7="","",IF(($P7+$Q7)=0,0,$W7/($P7+$Q7)))</f>
        <v>1.24733848101266</v>
      </c>
      <c r="AA7" s="40" t="n">
        <f aca="false">IF($AB7="","",IF($I7=0,0,($W7+$P7)/$I7/IF($H7="USD",INDEX('COD Network Fees'!$B$27:$B$29,MATCH($L7,'COD Network Fees'!$A$27:$A$29,0)),1)))</f>
        <v>8.65873375</v>
      </c>
      <c r="AB7" s="42" t="n">
        <f aca="false">IF($B7="","",MATCH($B7,'COD Network Fees'!$A$5:$A$23,0))</f>
        <v>8</v>
      </c>
    </row>
    <row r="8" customFormat="false" ht="15" hidden="false" customHeight="false" outlineLevel="0" collapsed="false">
      <c r="A8" s="34"/>
      <c r="B8" s="34"/>
      <c r="C8" s="34"/>
      <c r="D8" s="34"/>
      <c r="E8" s="35"/>
      <c r="F8" s="35"/>
      <c r="G8" s="35"/>
      <c r="H8" s="34"/>
      <c r="I8" s="36"/>
      <c r="J8" s="37"/>
      <c r="K8" s="37"/>
      <c r="L8" s="38" t="str">
        <f aca="false">IF($AB8="","",INDEX('COD Network Fees'!$C$5:$C$23,$AB8))</f>
        <v/>
      </c>
      <c r="M8" s="9" t="str">
        <f aca="false">IF($AB8="","",$I8*$J8)</f>
        <v/>
      </c>
      <c r="N8" s="9" t="str">
        <f aca="false">IF($AB8="","",$M8*(1-$K8))</f>
        <v/>
      </c>
      <c r="O8" s="9" t="str">
        <f aca="false">IF($AB8="","",$N8*$E8)</f>
        <v/>
      </c>
      <c r="P8" s="9" t="str">
        <f aca="false">IF($AB8="","",$I8*$G8*IF($H8="USD",INDEX('COD Network Fees'!$B$27:$B$29,MATCH($L8,'COD Network Fees'!$A$27:$A$29,0)),1))</f>
        <v/>
      </c>
      <c r="Q8" s="9" t="str">
        <f aca="false">IF($AB8="","",$N8*$F8)</f>
        <v/>
      </c>
      <c r="R8" s="9" t="str">
        <f aca="false">IF($AB8="","",IF($D8="Yes",1,0)*($I8*IF($C8="Cosmetic",INDEX('COD Network Fees'!$G$5:$G$23,$AB8),INDEX('COD Network Fees'!$D$5:$D$23,$AB8))+$M8*IF($C8="Cosmetic",INDEX('COD Network Fees'!$H$5:$H$23,$AB8),INDEX('COD Network Fees'!$E$5:$E$23,$AB8))+$N8*IF($C8="Cosmetic",INDEX('COD Network Fees'!$I$5:$I$23,$AB8),INDEX('COD Network Fees'!$F$5:$F$23,$AB8))))</f>
        <v/>
      </c>
      <c r="S8" s="9" t="str">
        <f aca="false">IF($AB8="","",$N8*IF(AND($D8="No",INDEX('COD Network Fees'!$M$5:$M$23,$AB8)&lt;&gt;""),INDEX('COD Network Fees'!$M$5:$M$23,$AB8),INDEX('COD Network Fees'!$K$5:$K$23,$AB8))+($M8-$N8)*IF(AND($D8="No",INDEX('COD Network Fees'!$M$5:$M$23,$AB8)&lt;&gt;""),INDEX('COD Network Fees'!$M$5:$M$23,$AB8),INDEX('COD Network Fees'!$L$5:$L$23,$AB8)))</f>
        <v/>
      </c>
      <c r="T8" s="9" t="str">
        <f aca="false">IF($AB8="","",$M8*INDEX('COD Network Fees'!$N$5:$N$23,$AB8))</f>
        <v/>
      </c>
      <c r="U8" s="9" t="str">
        <f aca="false">IF($AB8="","",$O8*INDEX('COD Network Fees'!$P$5:$P$23,$AB8))</f>
        <v/>
      </c>
      <c r="V8" s="9" t="str">
        <f aca="false">IF($AB8="","",($O8-$R8-$S8-$T8-$U8)*Calculator!$B$19)</f>
        <v/>
      </c>
      <c r="W8" s="39" t="str">
        <f aca="false">IF($AB8="","",$O8-$P8-$Q8-$R8-$S8-$T8-$U8-$V8)</f>
        <v/>
      </c>
      <c r="X8" s="40" t="str">
        <f aca="false">IF($AB8="","",IF($N8=0,0,$W8/$N8))</f>
        <v/>
      </c>
      <c r="Y8" s="41" t="str">
        <f aca="false">IF($AB8="","",IF($O8=0,0,$W8/$O8))</f>
        <v/>
      </c>
      <c r="Z8" s="41" t="str">
        <f aca="false">IF($AB8="","",IF(($P8+$Q8)=0,0,$W8/($P8+$Q8)))</f>
        <v/>
      </c>
      <c r="AA8" s="40" t="str">
        <f aca="false">IF($AB8="","",IF($I8=0,0,($W8+$P8)/$I8/IF($H8="USD",INDEX('COD Network Fees'!$B$27:$B$29,MATCH($L8,'COD Network Fees'!$A$27:$A$29,0)),1)))</f>
        <v/>
      </c>
      <c r="AB8" s="42" t="str">
        <f aca="false">IF($B8="","",MATCH($B8,'COD Network Fees'!$A$5:$A$23,0))</f>
        <v/>
      </c>
    </row>
    <row r="9" customFormat="false" ht="15" hidden="false" customHeight="false" outlineLevel="0" collapsed="false">
      <c r="A9" s="34"/>
      <c r="B9" s="34"/>
      <c r="C9" s="34"/>
      <c r="D9" s="34"/>
      <c r="E9" s="35"/>
      <c r="F9" s="35"/>
      <c r="G9" s="35"/>
      <c r="H9" s="34"/>
      <c r="I9" s="36"/>
      <c r="J9" s="37"/>
      <c r="K9" s="37"/>
      <c r="L9" s="38" t="str">
        <f aca="false">IF($AB9="","",INDEX('COD Network Fees'!$C$5:$C$23,$AB9))</f>
        <v/>
      </c>
      <c r="M9" s="9" t="str">
        <f aca="false">IF($AB9="","",$I9*$J9)</f>
        <v/>
      </c>
      <c r="N9" s="9" t="str">
        <f aca="false">IF($AB9="","",$M9*(1-$K9))</f>
        <v/>
      </c>
      <c r="O9" s="9" t="str">
        <f aca="false">IF($AB9="","",$N9*$E9)</f>
        <v/>
      </c>
      <c r="P9" s="9" t="str">
        <f aca="false">IF($AB9="","",$I9*$G9*IF($H9="USD",INDEX('COD Network Fees'!$B$27:$B$29,MATCH($L9,'COD Network Fees'!$A$27:$A$29,0)),1))</f>
        <v/>
      </c>
      <c r="Q9" s="9" t="str">
        <f aca="false">IF($AB9="","",$N9*$F9)</f>
        <v/>
      </c>
      <c r="R9" s="9" t="str">
        <f aca="false">IF($AB9="","",IF($D9="Yes",1,0)*($I9*IF($C9="Cosmetic",INDEX('COD Network Fees'!$G$5:$G$23,$AB9),INDEX('COD Network Fees'!$D$5:$D$23,$AB9))+$M9*IF($C9="Cosmetic",INDEX('COD Network Fees'!$H$5:$H$23,$AB9),INDEX('COD Network Fees'!$E$5:$E$23,$AB9))+$N9*IF($C9="Cosmetic",INDEX('COD Network Fees'!$I$5:$I$23,$AB9),INDEX('COD Network Fees'!$F$5:$F$23,$AB9))))</f>
        <v/>
      </c>
      <c r="S9" s="9" t="str">
        <f aca="false">IF($AB9="","",$N9*IF(AND($D9="No",INDEX('COD Network Fees'!$M$5:$M$23,$AB9)&lt;&gt;""),INDEX('COD Network Fees'!$M$5:$M$23,$AB9),INDEX('COD Network Fees'!$K$5:$K$23,$AB9))+($M9-$N9)*IF(AND($D9="No",INDEX('COD Network Fees'!$M$5:$M$23,$AB9)&lt;&gt;""),INDEX('COD Network Fees'!$M$5:$M$23,$AB9),INDEX('COD Network Fees'!$L$5:$L$23,$AB9)))</f>
        <v/>
      </c>
      <c r="T9" s="9" t="str">
        <f aca="false">IF($AB9="","",$M9*INDEX('COD Network Fees'!$N$5:$N$23,$AB9))</f>
        <v/>
      </c>
      <c r="U9" s="9" t="str">
        <f aca="false">IF($AB9="","",$O9*INDEX('COD Network Fees'!$P$5:$P$23,$AB9))</f>
        <v/>
      </c>
      <c r="V9" s="9" t="str">
        <f aca="false">IF($AB9="","",($O9-$R9-$S9-$T9-$U9)*Calculator!$B$19)</f>
        <v/>
      </c>
      <c r="W9" s="39" t="str">
        <f aca="false">IF($AB9="","",$O9-$P9-$Q9-$R9-$S9-$T9-$U9-$V9)</f>
        <v/>
      </c>
      <c r="X9" s="40" t="str">
        <f aca="false">IF($AB9="","",IF($N9=0,0,$W9/$N9))</f>
        <v/>
      </c>
      <c r="Y9" s="41" t="str">
        <f aca="false">IF($AB9="","",IF($O9=0,0,$W9/$O9))</f>
        <v/>
      </c>
      <c r="Z9" s="41" t="str">
        <f aca="false">IF($AB9="","",IF(($P9+$Q9)=0,0,$W9/($P9+$Q9)))</f>
        <v/>
      </c>
      <c r="AA9" s="40" t="str">
        <f aca="false">IF($AB9="","",IF($I9=0,0,($W9+$P9)/$I9/IF($H9="USD",INDEX('COD Network Fees'!$B$27:$B$29,MATCH($L9,'COD Network Fees'!$A$27:$A$29,0)),1)))</f>
        <v/>
      </c>
      <c r="AB9" s="42" t="str">
        <f aca="false">IF($B9="","",MATCH($B9,'COD Network Fees'!$A$5:$A$23,0))</f>
        <v/>
      </c>
    </row>
    <row r="10" customFormat="false" ht="15" hidden="false" customHeight="false" outlineLevel="0" collapsed="false">
      <c r="A10" s="34"/>
      <c r="B10" s="34"/>
      <c r="C10" s="34"/>
      <c r="D10" s="34"/>
      <c r="E10" s="35"/>
      <c r="F10" s="35"/>
      <c r="G10" s="35"/>
      <c r="H10" s="34"/>
      <c r="I10" s="36"/>
      <c r="J10" s="37"/>
      <c r="K10" s="37"/>
      <c r="L10" s="38" t="str">
        <f aca="false">IF($AB10="","",INDEX('COD Network Fees'!$C$5:$C$23,$AB10))</f>
        <v/>
      </c>
      <c r="M10" s="9" t="str">
        <f aca="false">IF($AB10="","",$I10*$J10)</f>
        <v/>
      </c>
      <c r="N10" s="9" t="str">
        <f aca="false">IF($AB10="","",$M10*(1-$K10))</f>
        <v/>
      </c>
      <c r="O10" s="9" t="str">
        <f aca="false">IF($AB10="","",$N10*$E10)</f>
        <v/>
      </c>
      <c r="P10" s="9" t="str">
        <f aca="false">IF($AB10="","",$I10*$G10*IF($H10="USD",INDEX('COD Network Fees'!$B$27:$B$29,MATCH($L10,'COD Network Fees'!$A$27:$A$29,0)),1))</f>
        <v/>
      </c>
      <c r="Q10" s="9" t="str">
        <f aca="false">IF($AB10="","",$N10*$F10)</f>
        <v/>
      </c>
      <c r="R10" s="9" t="str">
        <f aca="false">IF($AB10="","",IF($D10="Yes",1,0)*($I10*IF($C10="Cosmetic",INDEX('COD Network Fees'!$G$5:$G$23,$AB10),INDEX('COD Network Fees'!$D$5:$D$23,$AB10))+$M10*IF($C10="Cosmetic",INDEX('COD Network Fees'!$H$5:$H$23,$AB10),INDEX('COD Network Fees'!$E$5:$E$23,$AB10))+$N10*IF($C10="Cosmetic",INDEX('COD Network Fees'!$I$5:$I$23,$AB10),INDEX('COD Network Fees'!$F$5:$F$23,$AB10))))</f>
        <v/>
      </c>
      <c r="S10" s="9" t="str">
        <f aca="false">IF($AB10="","",$N10*IF(AND($D10="No",INDEX('COD Network Fees'!$M$5:$M$23,$AB10)&lt;&gt;""),INDEX('COD Network Fees'!$M$5:$M$23,$AB10),INDEX('COD Network Fees'!$K$5:$K$23,$AB10))+($M10-$N10)*IF(AND($D10="No",INDEX('COD Network Fees'!$M$5:$M$23,$AB10)&lt;&gt;""),INDEX('COD Network Fees'!$M$5:$M$23,$AB10),INDEX('COD Network Fees'!$L$5:$L$23,$AB10)))</f>
        <v/>
      </c>
      <c r="T10" s="9" t="str">
        <f aca="false">IF($AB10="","",$M10*INDEX('COD Network Fees'!$N$5:$N$23,$AB10))</f>
        <v/>
      </c>
      <c r="U10" s="9" t="str">
        <f aca="false">IF($AB10="","",$O10*INDEX('COD Network Fees'!$P$5:$P$23,$AB10))</f>
        <v/>
      </c>
      <c r="V10" s="9" t="str">
        <f aca="false">IF($AB10="","",($O10-$R10-$S10-$T10-$U10)*Calculator!$B$19)</f>
        <v/>
      </c>
      <c r="W10" s="39" t="str">
        <f aca="false">IF($AB10="","",$O10-$P10-$Q10-$R10-$S10-$T10-$U10-$V10)</f>
        <v/>
      </c>
      <c r="X10" s="40" t="str">
        <f aca="false">IF($AB10="","",IF($N10=0,0,$W10/$N10))</f>
        <v/>
      </c>
      <c r="Y10" s="41" t="str">
        <f aca="false">IF($AB10="","",IF($O10=0,0,$W10/$O10))</f>
        <v/>
      </c>
      <c r="Z10" s="41" t="str">
        <f aca="false">IF($AB10="","",IF(($P10+$Q10)=0,0,$W10/($P10+$Q10)))</f>
        <v/>
      </c>
      <c r="AA10" s="40" t="str">
        <f aca="false">IF($AB10="","",IF($I10=0,0,($W10+$P10)/$I10/IF($H10="USD",INDEX('COD Network Fees'!$B$27:$B$29,MATCH($L10,'COD Network Fees'!$A$27:$A$29,0)),1)))</f>
        <v/>
      </c>
      <c r="AB10" s="42" t="str">
        <f aca="false">IF($B10="","",MATCH($B10,'COD Network Fees'!$A$5:$A$23,0))</f>
        <v/>
      </c>
    </row>
    <row r="11" customFormat="false" ht="15" hidden="false" customHeight="false" outlineLevel="0" collapsed="false">
      <c r="A11" s="34"/>
      <c r="B11" s="34"/>
      <c r="C11" s="34"/>
      <c r="D11" s="34"/>
      <c r="E11" s="35"/>
      <c r="F11" s="35"/>
      <c r="G11" s="35"/>
      <c r="H11" s="34"/>
      <c r="I11" s="36"/>
      <c r="J11" s="37"/>
      <c r="K11" s="37"/>
      <c r="L11" s="38" t="str">
        <f aca="false">IF($AB11="","",INDEX('COD Network Fees'!$C$5:$C$23,$AB11))</f>
        <v/>
      </c>
      <c r="M11" s="9" t="str">
        <f aca="false">IF($AB11="","",$I11*$J11)</f>
        <v/>
      </c>
      <c r="N11" s="9" t="str">
        <f aca="false">IF($AB11="","",$M11*(1-$K11))</f>
        <v/>
      </c>
      <c r="O11" s="9" t="str">
        <f aca="false">IF($AB11="","",$N11*$E11)</f>
        <v/>
      </c>
      <c r="P11" s="9" t="str">
        <f aca="false">IF($AB11="","",$I11*$G11*IF($H11="USD",INDEX('COD Network Fees'!$B$27:$B$29,MATCH($L11,'COD Network Fees'!$A$27:$A$29,0)),1))</f>
        <v/>
      </c>
      <c r="Q11" s="9" t="str">
        <f aca="false">IF($AB11="","",$N11*$F11)</f>
        <v/>
      </c>
      <c r="R11" s="9" t="str">
        <f aca="false">IF($AB11="","",IF($D11="Yes",1,0)*($I11*IF($C11="Cosmetic",INDEX('COD Network Fees'!$G$5:$G$23,$AB11),INDEX('COD Network Fees'!$D$5:$D$23,$AB11))+$M11*IF($C11="Cosmetic",INDEX('COD Network Fees'!$H$5:$H$23,$AB11),INDEX('COD Network Fees'!$E$5:$E$23,$AB11))+$N11*IF($C11="Cosmetic",INDEX('COD Network Fees'!$I$5:$I$23,$AB11),INDEX('COD Network Fees'!$F$5:$F$23,$AB11))))</f>
        <v/>
      </c>
      <c r="S11" s="9" t="str">
        <f aca="false">IF($AB11="","",$N11*IF(AND($D11="No",INDEX('COD Network Fees'!$M$5:$M$23,$AB11)&lt;&gt;""),INDEX('COD Network Fees'!$M$5:$M$23,$AB11),INDEX('COD Network Fees'!$K$5:$K$23,$AB11))+($M11-$N11)*IF(AND($D11="No",INDEX('COD Network Fees'!$M$5:$M$23,$AB11)&lt;&gt;""),INDEX('COD Network Fees'!$M$5:$M$23,$AB11),INDEX('COD Network Fees'!$L$5:$L$23,$AB11)))</f>
        <v/>
      </c>
      <c r="T11" s="9" t="str">
        <f aca="false">IF($AB11="","",$M11*INDEX('COD Network Fees'!$N$5:$N$23,$AB11))</f>
        <v/>
      </c>
      <c r="U11" s="9" t="str">
        <f aca="false">IF($AB11="","",$O11*INDEX('COD Network Fees'!$P$5:$P$23,$AB11))</f>
        <v/>
      </c>
      <c r="V11" s="9" t="str">
        <f aca="false">IF($AB11="","",($O11-$R11-$S11-$T11-$U11)*Calculator!$B$19)</f>
        <v/>
      </c>
      <c r="W11" s="39" t="str">
        <f aca="false">IF($AB11="","",$O11-$P11-$Q11-$R11-$S11-$T11-$U11-$V11)</f>
        <v/>
      </c>
      <c r="X11" s="40" t="str">
        <f aca="false">IF($AB11="","",IF($N11=0,0,$W11/$N11))</f>
        <v/>
      </c>
      <c r="Y11" s="41" t="str">
        <f aca="false">IF($AB11="","",IF($O11=0,0,$W11/$O11))</f>
        <v/>
      </c>
      <c r="Z11" s="41" t="str">
        <f aca="false">IF($AB11="","",IF(($P11+$Q11)=0,0,$W11/($P11+$Q11)))</f>
        <v/>
      </c>
      <c r="AA11" s="40" t="str">
        <f aca="false">IF($AB11="","",IF($I11=0,0,($W11+$P11)/$I11/IF($H11="USD",INDEX('COD Network Fees'!$B$27:$B$29,MATCH($L11,'COD Network Fees'!$A$27:$A$29,0)),1)))</f>
        <v/>
      </c>
      <c r="AB11" s="42" t="str">
        <f aca="false">IF($B11="","",MATCH($B11,'COD Network Fees'!$A$5:$A$23,0))</f>
        <v/>
      </c>
    </row>
    <row r="12" customFormat="false" ht="15" hidden="false" customHeight="false" outlineLevel="0" collapsed="false">
      <c r="A12" s="34"/>
      <c r="B12" s="34"/>
      <c r="C12" s="34"/>
      <c r="D12" s="34"/>
      <c r="E12" s="35"/>
      <c r="F12" s="35"/>
      <c r="G12" s="35"/>
      <c r="H12" s="34"/>
      <c r="I12" s="36"/>
      <c r="J12" s="37"/>
      <c r="K12" s="37"/>
      <c r="L12" s="38" t="str">
        <f aca="false">IF($AB12="","",INDEX('COD Network Fees'!$C$5:$C$23,$AB12))</f>
        <v/>
      </c>
      <c r="M12" s="9" t="str">
        <f aca="false">IF($AB12="","",$I12*$J12)</f>
        <v/>
      </c>
      <c r="N12" s="9" t="str">
        <f aca="false">IF($AB12="","",$M12*(1-$K12))</f>
        <v/>
      </c>
      <c r="O12" s="9" t="str">
        <f aca="false">IF($AB12="","",$N12*$E12)</f>
        <v/>
      </c>
      <c r="P12" s="9" t="str">
        <f aca="false">IF($AB12="","",$I12*$G12*IF($H12="USD",INDEX('COD Network Fees'!$B$27:$B$29,MATCH($L12,'COD Network Fees'!$A$27:$A$29,0)),1))</f>
        <v/>
      </c>
      <c r="Q12" s="9" t="str">
        <f aca="false">IF($AB12="","",$N12*$F12)</f>
        <v/>
      </c>
      <c r="R12" s="9" t="str">
        <f aca="false">IF($AB12="","",IF($D12="Yes",1,0)*($I12*IF($C12="Cosmetic",INDEX('COD Network Fees'!$G$5:$G$23,$AB12),INDEX('COD Network Fees'!$D$5:$D$23,$AB12))+$M12*IF($C12="Cosmetic",INDEX('COD Network Fees'!$H$5:$H$23,$AB12),INDEX('COD Network Fees'!$E$5:$E$23,$AB12))+$N12*IF($C12="Cosmetic",INDEX('COD Network Fees'!$I$5:$I$23,$AB12),INDEX('COD Network Fees'!$F$5:$F$23,$AB12))))</f>
        <v/>
      </c>
      <c r="S12" s="9" t="str">
        <f aca="false">IF($AB12="","",$N12*IF(AND($D12="No",INDEX('COD Network Fees'!$M$5:$M$23,$AB12)&lt;&gt;""),INDEX('COD Network Fees'!$M$5:$M$23,$AB12),INDEX('COD Network Fees'!$K$5:$K$23,$AB12))+($M12-$N12)*IF(AND($D12="No",INDEX('COD Network Fees'!$M$5:$M$23,$AB12)&lt;&gt;""),INDEX('COD Network Fees'!$M$5:$M$23,$AB12),INDEX('COD Network Fees'!$L$5:$L$23,$AB12)))</f>
        <v/>
      </c>
      <c r="T12" s="9" t="str">
        <f aca="false">IF($AB12="","",$M12*INDEX('COD Network Fees'!$N$5:$N$23,$AB12))</f>
        <v/>
      </c>
      <c r="U12" s="9" t="str">
        <f aca="false">IF($AB12="","",$O12*INDEX('COD Network Fees'!$P$5:$P$23,$AB12))</f>
        <v/>
      </c>
      <c r="V12" s="9" t="str">
        <f aca="false">IF($AB12="","",($O12-$R12-$S12-$T12-$U12)*Calculator!$B$19)</f>
        <v/>
      </c>
      <c r="W12" s="39" t="str">
        <f aca="false">IF($AB12="","",$O12-$P12-$Q12-$R12-$S12-$T12-$U12-$V12)</f>
        <v/>
      </c>
      <c r="X12" s="40" t="str">
        <f aca="false">IF($AB12="","",IF($N12=0,0,$W12/$N12))</f>
        <v/>
      </c>
      <c r="Y12" s="41" t="str">
        <f aca="false">IF($AB12="","",IF($O12=0,0,$W12/$O12))</f>
        <v/>
      </c>
      <c r="Z12" s="41" t="str">
        <f aca="false">IF($AB12="","",IF(($P12+$Q12)=0,0,$W12/($P12+$Q12)))</f>
        <v/>
      </c>
      <c r="AA12" s="40" t="str">
        <f aca="false">IF($AB12="","",IF($I12=0,0,($W12+$P12)/$I12/IF($H12="USD",INDEX('COD Network Fees'!$B$27:$B$29,MATCH($L12,'COD Network Fees'!$A$27:$A$29,0)),1)))</f>
        <v/>
      </c>
      <c r="AB12" s="42" t="str">
        <f aca="false">IF($B12="","",MATCH($B12,'COD Network Fees'!$A$5:$A$23,0))</f>
        <v/>
      </c>
    </row>
    <row r="13" customFormat="false" ht="15" hidden="false" customHeight="false" outlineLevel="0" collapsed="false">
      <c r="A13" s="34"/>
      <c r="B13" s="34"/>
      <c r="C13" s="34"/>
      <c r="D13" s="34"/>
      <c r="E13" s="35"/>
      <c r="F13" s="35"/>
      <c r="G13" s="35"/>
      <c r="H13" s="34"/>
      <c r="I13" s="36"/>
      <c r="J13" s="37"/>
      <c r="K13" s="37"/>
      <c r="L13" s="38" t="str">
        <f aca="false">IF($AB13="","",INDEX('COD Network Fees'!$C$5:$C$23,$AB13))</f>
        <v/>
      </c>
      <c r="M13" s="9" t="str">
        <f aca="false">IF($AB13="","",$I13*$J13)</f>
        <v/>
      </c>
      <c r="N13" s="9" t="str">
        <f aca="false">IF($AB13="","",$M13*(1-$K13))</f>
        <v/>
      </c>
      <c r="O13" s="9" t="str">
        <f aca="false">IF($AB13="","",$N13*$E13)</f>
        <v/>
      </c>
      <c r="P13" s="9" t="str">
        <f aca="false">IF($AB13="","",$I13*$G13*IF($H13="USD",INDEX('COD Network Fees'!$B$27:$B$29,MATCH($L13,'COD Network Fees'!$A$27:$A$29,0)),1))</f>
        <v/>
      </c>
      <c r="Q13" s="9" t="str">
        <f aca="false">IF($AB13="","",$N13*$F13)</f>
        <v/>
      </c>
      <c r="R13" s="9" t="str">
        <f aca="false">IF($AB13="","",IF($D13="Yes",1,0)*($I13*IF($C13="Cosmetic",INDEX('COD Network Fees'!$G$5:$G$23,$AB13),INDEX('COD Network Fees'!$D$5:$D$23,$AB13))+$M13*IF($C13="Cosmetic",INDEX('COD Network Fees'!$H$5:$H$23,$AB13),INDEX('COD Network Fees'!$E$5:$E$23,$AB13))+$N13*IF($C13="Cosmetic",INDEX('COD Network Fees'!$I$5:$I$23,$AB13),INDEX('COD Network Fees'!$F$5:$F$23,$AB13))))</f>
        <v/>
      </c>
      <c r="S13" s="9" t="str">
        <f aca="false">IF($AB13="","",$N13*IF(AND($D13="No",INDEX('COD Network Fees'!$M$5:$M$23,$AB13)&lt;&gt;""),INDEX('COD Network Fees'!$M$5:$M$23,$AB13),INDEX('COD Network Fees'!$K$5:$K$23,$AB13))+($M13-$N13)*IF(AND($D13="No",INDEX('COD Network Fees'!$M$5:$M$23,$AB13)&lt;&gt;""),INDEX('COD Network Fees'!$M$5:$M$23,$AB13),INDEX('COD Network Fees'!$L$5:$L$23,$AB13)))</f>
        <v/>
      </c>
      <c r="T13" s="9" t="str">
        <f aca="false">IF($AB13="","",$M13*INDEX('COD Network Fees'!$N$5:$N$23,$AB13))</f>
        <v/>
      </c>
      <c r="U13" s="9" t="str">
        <f aca="false">IF($AB13="","",$O13*INDEX('COD Network Fees'!$P$5:$P$23,$AB13))</f>
        <v/>
      </c>
      <c r="V13" s="9" t="str">
        <f aca="false">IF($AB13="","",($O13-$R13-$S13-$T13-$U13)*Calculator!$B$19)</f>
        <v/>
      </c>
      <c r="W13" s="39" t="str">
        <f aca="false">IF($AB13="","",$O13-$P13-$Q13-$R13-$S13-$T13-$U13-$V13)</f>
        <v/>
      </c>
      <c r="X13" s="40" t="str">
        <f aca="false">IF($AB13="","",IF($N13=0,0,$W13/$N13))</f>
        <v/>
      </c>
      <c r="Y13" s="41" t="str">
        <f aca="false">IF($AB13="","",IF($O13=0,0,$W13/$O13))</f>
        <v/>
      </c>
      <c r="Z13" s="41" t="str">
        <f aca="false">IF($AB13="","",IF(($P13+$Q13)=0,0,$W13/($P13+$Q13)))</f>
        <v/>
      </c>
      <c r="AA13" s="40" t="str">
        <f aca="false">IF($AB13="","",IF($I13=0,0,($W13+$P13)/$I13/IF($H13="USD",INDEX('COD Network Fees'!$B$27:$B$29,MATCH($L13,'COD Network Fees'!$A$27:$A$29,0)),1)))</f>
        <v/>
      </c>
      <c r="AB13" s="42" t="str">
        <f aca="false">IF($B13="","",MATCH($B13,'COD Network Fees'!$A$5:$A$23,0))</f>
        <v/>
      </c>
    </row>
    <row r="14" customFormat="false" ht="15" hidden="false" customHeight="false" outlineLevel="0" collapsed="false">
      <c r="A14" s="34"/>
      <c r="B14" s="34"/>
      <c r="C14" s="34"/>
      <c r="D14" s="34"/>
      <c r="E14" s="35"/>
      <c r="F14" s="35"/>
      <c r="G14" s="35"/>
      <c r="H14" s="34"/>
      <c r="I14" s="36"/>
      <c r="J14" s="37"/>
      <c r="K14" s="37"/>
      <c r="L14" s="38" t="str">
        <f aca="false">IF($AB14="","",INDEX('COD Network Fees'!$C$5:$C$23,$AB14))</f>
        <v/>
      </c>
      <c r="M14" s="9" t="str">
        <f aca="false">IF($AB14="","",$I14*$J14)</f>
        <v/>
      </c>
      <c r="N14" s="9" t="str">
        <f aca="false">IF($AB14="","",$M14*(1-$K14))</f>
        <v/>
      </c>
      <c r="O14" s="9" t="str">
        <f aca="false">IF($AB14="","",$N14*$E14)</f>
        <v/>
      </c>
      <c r="P14" s="9" t="str">
        <f aca="false">IF($AB14="","",$I14*$G14*IF($H14="USD",INDEX('COD Network Fees'!$B$27:$B$29,MATCH($L14,'COD Network Fees'!$A$27:$A$29,0)),1))</f>
        <v/>
      </c>
      <c r="Q14" s="9" t="str">
        <f aca="false">IF($AB14="","",$N14*$F14)</f>
        <v/>
      </c>
      <c r="R14" s="9" t="str">
        <f aca="false">IF($AB14="","",IF($D14="Yes",1,0)*($I14*IF($C14="Cosmetic",INDEX('COD Network Fees'!$G$5:$G$23,$AB14),INDEX('COD Network Fees'!$D$5:$D$23,$AB14))+$M14*IF($C14="Cosmetic",INDEX('COD Network Fees'!$H$5:$H$23,$AB14),INDEX('COD Network Fees'!$E$5:$E$23,$AB14))+$N14*IF($C14="Cosmetic",INDEX('COD Network Fees'!$I$5:$I$23,$AB14),INDEX('COD Network Fees'!$F$5:$F$23,$AB14))))</f>
        <v/>
      </c>
      <c r="S14" s="9" t="str">
        <f aca="false">IF($AB14="","",$N14*IF(AND($D14="No",INDEX('COD Network Fees'!$M$5:$M$23,$AB14)&lt;&gt;""),INDEX('COD Network Fees'!$M$5:$M$23,$AB14),INDEX('COD Network Fees'!$K$5:$K$23,$AB14))+($M14-$N14)*IF(AND($D14="No",INDEX('COD Network Fees'!$M$5:$M$23,$AB14)&lt;&gt;""),INDEX('COD Network Fees'!$M$5:$M$23,$AB14),INDEX('COD Network Fees'!$L$5:$L$23,$AB14)))</f>
        <v/>
      </c>
      <c r="T14" s="9" t="str">
        <f aca="false">IF($AB14="","",$M14*INDEX('COD Network Fees'!$N$5:$N$23,$AB14))</f>
        <v/>
      </c>
      <c r="U14" s="9" t="str">
        <f aca="false">IF($AB14="","",$O14*INDEX('COD Network Fees'!$P$5:$P$23,$AB14))</f>
        <v/>
      </c>
      <c r="V14" s="9" t="str">
        <f aca="false">IF($AB14="","",($O14-$R14-$S14-$T14-$U14)*Calculator!$B$19)</f>
        <v/>
      </c>
      <c r="W14" s="39" t="str">
        <f aca="false">IF($AB14="","",$O14-$P14-$Q14-$R14-$S14-$T14-$U14-$V14)</f>
        <v/>
      </c>
      <c r="X14" s="40" t="str">
        <f aca="false">IF($AB14="","",IF($N14=0,0,$W14/$N14))</f>
        <v/>
      </c>
      <c r="Y14" s="41" t="str">
        <f aca="false">IF($AB14="","",IF($O14=0,0,$W14/$O14))</f>
        <v/>
      </c>
      <c r="Z14" s="41" t="str">
        <f aca="false">IF($AB14="","",IF(($P14+$Q14)=0,0,$W14/($P14+$Q14)))</f>
        <v/>
      </c>
      <c r="AA14" s="40" t="str">
        <f aca="false">IF($AB14="","",IF($I14=0,0,($W14+$P14)/$I14/IF($H14="USD",INDEX('COD Network Fees'!$B$27:$B$29,MATCH($L14,'COD Network Fees'!$A$27:$A$29,0)),1)))</f>
        <v/>
      </c>
      <c r="AB14" s="42" t="str">
        <f aca="false">IF($B14="","",MATCH($B14,'COD Network Fees'!$A$5:$A$23,0))</f>
        <v/>
      </c>
    </row>
    <row r="15" customFormat="false" ht="15" hidden="false" customHeight="false" outlineLevel="0" collapsed="false">
      <c r="A15" s="34"/>
      <c r="B15" s="34"/>
      <c r="C15" s="34"/>
      <c r="D15" s="34"/>
      <c r="E15" s="35"/>
      <c r="F15" s="35"/>
      <c r="G15" s="35"/>
      <c r="H15" s="34"/>
      <c r="I15" s="36"/>
      <c r="J15" s="37"/>
      <c r="K15" s="37"/>
      <c r="L15" s="38" t="str">
        <f aca="false">IF($AB15="","",INDEX('COD Network Fees'!$C$5:$C$23,$AB15))</f>
        <v/>
      </c>
      <c r="M15" s="9" t="str">
        <f aca="false">IF($AB15="","",$I15*$J15)</f>
        <v/>
      </c>
      <c r="N15" s="9" t="str">
        <f aca="false">IF($AB15="","",$M15*(1-$K15))</f>
        <v/>
      </c>
      <c r="O15" s="9" t="str">
        <f aca="false">IF($AB15="","",$N15*$E15)</f>
        <v/>
      </c>
      <c r="P15" s="9" t="str">
        <f aca="false">IF($AB15="","",$I15*$G15*IF($H15="USD",INDEX('COD Network Fees'!$B$27:$B$29,MATCH($L15,'COD Network Fees'!$A$27:$A$29,0)),1))</f>
        <v/>
      </c>
      <c r="Q15" s="9" t="str">
        <f aca="false">IF($AB15="","",$N15*$F15)</f>
        <v/>
      </c>
      <c r="R15" s="9" t="str">
        <f aca="false">IF($AB15="","",IF($D15="Yes",1,0)*($I15*IF($C15="Cosmetic",INDEX('COD Network Fees'!$G$5:$G$23,$AB15),INDEX('COD Network Fees'!$D$5:$D$23,$AB15))+$M15*IF($C15="Cosmetic",INDEX('COD Network Fees'!$H$5:$H$23,$AB15),INDEX('COD Network Fees'!$E$5:$E$23,$AB15))+$N15*IF($C15="Cosmetic",INDEX('COD Network Fees'!$I$5:$I$23,$AB15),INDEX('COD Network Fees'!$F$5:$F$23,$AB15))))</f>
        <v/>
      </c>
      <c r="S15" s="9" t="str">
        <f aca="false">IF($AB15="","",$N15*IF(AND($D15="No",INDEX('COD Network Fees'!$M$5:$M$23,$AB15)&lt;&gt;""),INDEX('COD Network Fees'!$M$5:$M$23,$AB15),INDEX('COD Network Fees'!$K$5:$K$23,$AB15))+($M15-$N15)*IF(AND($D15="No",INDEX('COD Network Fees'!$M$5:$M$23,$AB15)&lt;&gt;""),INDEX('COD Network Fees'!$M$5:$M$23,$AB15),INDEX('COD Network Fees'!$L$5:$L$23,$AB15)))</f>
        <v/>
      </c>
      <c r="T15" s="9" t="str">
        <f aca="false">IF($AB15="","",$M15*INDEX('COD Network Fees'!$N$5:$N$23,$AB15))</f>
        <v/>
      </c>
      <c r="U15" s="9" t="str">
        <f aca="false">IF($AB15="","",$O15*INDEX('COD Network Fees'!$P$5:$P$23,$AB15))</f>
        <v/>
      </c>
      <c r="V15" s="9" t="str">
        <f aca="false">IF($AB15="","",($O15-$R15-$S15-$T15-$U15)*Calculator!$B$19)</f>
        <v/>
      </c>
      <c r="W15" s="39" t="str">
        <f aca="false">IF($AB15="","",$O15-$P15-$Q15-$R15-$S15-$T15-$U15-$V15)</f>
        <v/>
      </c>
      <c r="X15" s="40" t="str">
        <f aca="false">IF($AB15="","",IF($N15=0,0,$W15/$N15))</f>
        <v/>
      </c>
      <c r="Y15" s="41" t="str">
        <f aca="false">IF($AB15="","",IF($O15=0,0,$W15/$O15))</f>
        <v/>
      </c>
      <c r="Z15" s="41" t="str">
        <f aca="false">IF($AB15="","",IF(($P15+$Q15)=0,0,$W15/($P15+$Q15)))</f>
        <v/>
      </c>
      <c r="AA15" s="40" t="str">
        <f aca="false">IF($AB15="","",IF($I15=0,0,($W15+$P15)/$I15/IF($H15="USD",INDEX('COD Network Fees'!$B$27:$B$29,MATCH($L15,'COD Network Fees'!$A$27:$A$29,0)),1)))</f>
        <v/>
      </c>
      <c r="AB15" s="42" t="str">
        <f aca="false">IF($B15="","",MATCH($B15,'COD Network Fees'!$A$5:$A$23,0))</f>
        <v/>
      </c>
    </row>
    <row r="16" customFormat="false" ht="15" hidden="false" customHeight="false" outlineLevel="0" collapsed="false">
      <c r="A16" s="34"/>
      <c r="B16" s="34"/>
      <c r="C16" s="34"/>
      <c r="D16" s="34"/>
      <c r="E16" s="35"/>
      <c r="F16" s="35"/>
      <c r="G16" s="35"/>
      <c r="H16" s="34"/>
      <c r="I16" s="36"/>
      <c r="J16" s="37"/>
      <c r="K16" s="37"/>
      <c r="L16" s="38" t="str">
        <f aca="false">IF($AB16="","",INDEX('COD Network Fees'!$C$5:$C$23,$AB16))</f>
        <v/>
      </c>
      <c r="M16" s="9" t="str">
        <f aca="false">IF($AB16="","",$I16*$J16)</f>
        <v/>
      </c>
      <c r="N16" s="9" t="str">
        <f aca="false">IF($AB16="","",$M16*(1-$K16))</f>
        <v/>
      </c>
      <c r="O16" s="9" t="str">
        <f aca="false">IF($AB16="","",$N16*$E16)</f>
        <v/>
      </c>
      <c r="P16" s="9" t="str">
        <f aca="false">IF($AB16="","",$I16*$G16*IF($H16="USD",INDEX('COD Network Fees'!$B$27:$B$29,MATCH($L16,'COD Network Fees'!$A$27:$A$29,0)),1))</f>
        <v/>
      </c>
      <c r="Q16" s="9" t="str">
        <f aca="false">IF($AB16="","",$N16*$F16)</f>
        <v/>
      </c>
      <c r="R16" s="9" t="str">
        <f aca="false">IF($AB16="","",IF($D16="Yes",1,0)*($I16*IF($C16="Cosmetic",INDEX('COD Network Fees'!$G$5:$G$23,$AB16),INDEX('COD Network Fees'!$D$5:$D$23,$AB16))+$M16*IF($C16="Cosmetic",INDEX('COD Network Fees'!$H$5:$H$23,$AB16),INDEX('COD Network Fees'!$E$5:$E$23,$AB16))+$N16*IF($C16="Cosmetic",INDEX('COD Network Fees'!$I$5:$I$23,$AB16),INDEX('COD Network Fees'!$F$5:$F$23,$AB16))))</f>
        <v/>
      </c>
      <c r="S16" s="9" t="str">
        <f aca="false">IF($AB16="","",$N16*IF(AND($D16="No",INDEX('COD Network Fees'!$M$5:$M$23,$AB16)&lt;&gt;""),INDEX('COD Network Fees'!$M$5:$M$23,$AB16),INDEX('COD Network Fees'!$K$5:$K$23,$AB16))+($M16-$N16)*IF(AND($D16="No",INDEX('COD Network Fees'!$M$5:$M$23,$AB16)&lt;&gt;""),INDEX('COD Network Fees'!$M$5:$M$23,$AB16),INDEX('COD Network Fees'!$L$5:$L$23,$AB16)))</f>
        <v/>
      </c>
      <c r="T16" s="9" t="str">
        <f aca="false">IF($AB16="","",$M16*INDEX('COD Network Fees'!$N$5:$N$23,$AB16))</f>
        <v/>
      </c>
      <c r="U16" s="9" t="str">
        <f aca="false">IF($AB16="","",$O16*INDEX('COD Network Fees'!$P$5:$P$23,$AB16))</f>
        <v/>
      </c>
      <c r="V16" s="9" t="str">
        <f aca="false">IF($AB16="","",($O16-$R16-$S16-$T16-$U16)*Calculator!$B$19)</f>
        <v/>
      </c>
      <c r="W16" s="39" t="str">
        <f aca="false">IF($AB16="","",$O16-$P16-$Q16-$R16-$S16-$T16-$U16-$V16)</f>
        <v/>
      </c>
      <c r="X16" s="40" t="str">
        <f aca="false">IF($AB16="","",IF($N16=0,0,$W16/$N16))</f>
        <v/>
      </c>
      <c r="Y16" s="41" t="str">
        <f aca="false">IF($AB16="","",IF($O16=0,0,$W16/$O16))</f>
        <v/>
      </c>
      <c r="Z16" s="41" t="str">
        <f aca="false">IF($AB16="","",IF(($P16+$Q16)=0,0,$W16/($P16+$Q16)))</f>
        <v/>
      </c>
      <c r="AA16" s="40" t="str">
        <f aca="false">IF($AB16="","",IF($I16=0,0,($W16+$P16)/$I16/IF($H16="USD",INDEX('COD Network Fees'!$B$27:$B$29,MATCH($L16,'COD Network Fees'!$A$27:$A$29,0)),1)))</f>
        <v/>
      </c>
      <c r="AB16" s="42" t="str">
        <f aca="false">IF($B16="","",MATCH($B16,'COD Network Fees'!$A$5:$A$23,0))</f>
        <v/>
      </c>
    </row>
    <row r="17" customFormat="false" ht="15" hidden="false" customHeight="false" outlineLevel="0" collapsed="false">
      <c r="A17" s="34"/>
      <c r="B17" s="34"/>
      <c r="C17" s="34"/>
      <c r="D17" s="34"/>
      <c r="E17" s="35"/>
      <c r="F17" s="35"/>
      <c r="G17" s="35"/>
      <c r="H17" s="34"/>
      <c r="I17" s="36"/>
      <c r="J17" s="37"/>
      <c r="K17" s="37"/>
      <c r="L17" s="38" t="str">
        <f aca="false">IF($AB17="","",INDEX('COD Network Fees'!$C$5:$C$23,$AB17))</f>
        <v/>
      </c>
      <c r="M17" s="9" t="str">
        <f aca="false">IF($AB17="","",$I17*$J17)</f>
        <v/>
      </c>
      <c r="N17" s="9" t="str">
        <f aca="false">IF($AB17="","",$M17*(1-$K17))</f>
        <v/>
      </c>
      <c r="O17" s="9" t="str">
        <f aca="false">IF($AB17="","",$N17*$E17)</f>
        <v/>
      </c>
      <c r="P17" s="9" t="str">
        <f aca="false">IF($AB17="","",$I17*$G17*IF($H17="USD",INDEX('COD Network Fees'!$B$27:$B$29,MATCH($L17,'COD Network Fees'!$A$27:$A$29,0)),1))</f>
        <v/>
      </c>
      <c r="Q17" s="9" t="str">
        <f aca="false">IF($AB17="","",$N17*$F17)</f>
        <v/>
      </c>
      <c r="R17" s="9" t="str">
        <f aca="false">IF($AB17="","",IF($D17="Yes",1,0)*($I17*IF($C17="Cosmetic",INDEX('COD Network Fees'!$G$5:$G$23,$AB17),INDEX('COD Network Fees'!$D$5:$D$23,$AB17))+$M17*IF($C17="Cosmetic",INDEX('COD Network Fees'!$H$5:$H$23,$AB17),INDEX('COD Network Fees'!$E$5:$E$23,$AB17))+$N17*IF($C17="Cosmetic",INDEX('COD Network Fees'!$I$5:$I$23,$AB17),INDEX('COD Network Fees'!$F$5:$F$23,$AB17))))</f>
        <v/>
      </c>
      <c r="S17" s="9" t="str">
        <f aca="false">IF($AB17="","",$N17*IF(AND($D17="No",INDEX('COD Network Fees'!$M$5:$M$23,$AB17)&lt;&gt;""),INDEX('COD Network Fees'!$M$5:$M$23,$AB17),INDEX('COD Network Fees'!$K$5:$K$23,$AB17))+($M17-$N17)*IF(AND($D17="No",INDEX('COD Network Fees'!$M$5:$M$23,$AB17)&lt;&gt;""),INDEX('COD Network Fees'!$M$5:$M$23,$AB17),INDEX('COD Network Fees'!$L$5:$L$23,$AB17)))</f>
        <v/>
      </c>
      <c r="T17" s="9" t="str">
        <f aca="false">IF($AB17="","",$M17*INDEX('COD Network Fees'!$N$5:$N$23,$AB17))</f>
        <v/>
      </c>
      <c r="U17" s="9" t="str">
        <f aca="false">IF($AB17="","",$O17*INDEX('COD Network Fees'!$P$5:$P$23,$AB17))</f>
        <v/>
      </c>
      <c r="V17" s="9" t="str">
        <f aca="false">IF($AB17="","",($O17-$R17-$S17-$T17-$U17)*Calculator!$B$19)</f>
        <v/>
      </c>
      <c r="W17" s="39" t="str">
        <f aca="false">IF($AB17="","",$O17-$P17-$Q17-$R17-$S17-$T17-$U17-$V17)</f>
        <v/>
      </c>
      <c r="X17" s="40" t="str">
        <f aca="false">IF($AB17="","",IF($N17=0,0,$W17/$N17))</f>
        <v/>
      </c>
      <c r="Y17" s="41" t="str">
        <f aca="false">IF($AB17="","",IF($O17=0,0,$W17/$O17))</f>
        <v/>
      </c>
      <c r="Z17" s="41" t="str">
        <f aca="false">IF($AB17="","",IF(($P17+$Q17)=0,0,$W17/($P17+$Q17)))</f>
        <v/>
      </c>
      <c r="AA17" s="40" t="str">
        <f aca="false">IF($AB17="","",IF($I17=0,0,($W17+$P17)/$I17/IF($H17="USD",INDEX('COD Network Fees'!$B$27:$B$29,MATCH($L17,'COD Network Fees'!$A$27:$A$29,0)),1)))</f>
        <v/>
      </c>
      <c r="AB17" s="42" t="str">
        <f aca="false">IF($B17="","",MATCH($B17,'COD Network Fees'!$A$5:$A$23,0))</f>
        <v/>
      </c>
    </row>
    <row r="18" customFormat="false" ht="15" hidden="false" customHeight="false" outlineLevel="0" collapsed="false">
      <c r="A18" s="34"/>
      <c r="B18" s="34"/>
      <c r="C18" s="34"/>
      <c r="D18" s="34"/>
      <c r="E18" s="35"/>
      <c r="F18" s="35"/>
      <c r="G18" s="35"/>
      <c r="H18" s="34"/>
      <c r="I18" s="36"/>
      <c r="J18" s="37"/>
      <c r="K18" s="37"/>
      <c r="L18" s="38" t="str">
        <f aca="false">IF($AB18="","",INDEX('COD Network Fees'!$C$5:$C$23,$AB18))</f>
        <v/>
      </c>
      <c r="M18" s="9" t="str">
        <f aca="false">IF($AB18="","",$I18*$J18)</f>
        <v/>
      </c>
      <c r="N18" s="9" t="str">
        <f aca="false">IF($AB18="","",$M18*(1-$K18))</f>
        <v/>
      </c>
      <c r="O18" s="9" t="str">
        <f aca="false">IF($AB18="","",$N18*$E18)</f>
        <v/>
      </c>
      <c r="P18" s="9" t="str">
        <f aca="false">IF($AB18="","",$I18*$G18*IF($H18="USD",INDEX('COD Network Fees'!$B$27:$B$29,MATCH($L18,'COD Network Fees'!$A$27:$A$29,0)),1))</f>
        <v/>
      </c>
      <c r="Q18" s="9" t="str">
        <f aca="false">IF($AB18="","",$N18*$F18)</f>
        <v/>
      </c>
      <c r="R18" s="9" t="str">
        <f aca="false">IF($AB18="","",IF($D18="Yes",1,0)*($I18*IF($C18="Cosmetic",INDEX('COD Network Fees'!$G$5:$G$23,$AB18),INDEX('COD Network Fees'!$D$5:$D$23,$AB18))+$M18*IF($C18="Cosmetic",INDEX('COD Network Fees'!$H$5:$H$23,$AB18),INDEX('COD Network Fees'!$E$5:$E$23,$AB18))+$N18*IF($C18="Cosmetic",INDEX('COD Network Fees'!$I$5:$I$23,$AB18),INDEX('COD Network Fees'!$F$5:$F$23,$AB18))))</f>
        <v/>
      </c>
      <c r="S18" s="9" t="str">
        <f aca="false">IF($AB18="","",$N18*IF(AND($D18="No",INDEX('COD Network Fees'!$M$5:$M$23,$AB18)&lt;&gt;""),INDEX('COD Network Fees'!$M$5:$M$23,$AB18),INDEX('COD Network Fees'!$K$5:$K$23,$AB18))+($M18-$N18)*IF(AND($D18="No",INDEX('COD Network Fees'!$M$5:$M$23,$AB18)&lt;&gt;""),INDEX('COD Network Fees'!$M$5:$M$23,$AB18),INDEX('COD Network Fees'!$L$5:$L$23,$AB18)))</f>
        <v/>
      </c>
      <c r="T18" s="9" t="str">
        <f aca="false">IF($AB18="","",$M18*INDEX('COD Network Fees'!$N$5:$N$23,$AB18))</f>
        <v/>
      </c>
      <c r="U18" s="9" t="str">
        <f aca="false">IF($AB18="","",$O18*INDEX('COD Network Fees'!$P$5:$P$23,$AB18))</f>
        <v/>
      </c>
      <c r="V18" s="9" t="str">
        <f aca="false">IF($AB18="","",($O18-$R18-$S18-$T18-$U18)*Calculator!$B$19)</f>
        <v/>
      </c>
      <c r="W18" s="39" t="str">
        <f aca="false">IF($AB18="","",$O18-$P18-$Q18-$R18-$S18-$T18-$U18-$V18)</f>
        <v/>
      </c>
      <c r="X18" s="40" t="str">
        <f aca="false">IF($AB18="","",IF($N18=0,0,$W18/$N18))</f>
        <v/>
      </c>
      <c r="Y18" s="41" t="str">
        <f aca="false">IF($AB18="","",IF($O18=0,0,$W18/$O18))</f>
        <v/>
      </c>
      <c r="Z18" s="41" t="str">
        <f aca="false">IF($AB18="","",IF(($P18+$Q18)=0,0,$W18/($P18+$Q18)))</f>
        <v/>
      </c>
      <c r="AA18" s="40" t="str">
        <f aca="false">IF($AB18="","",IF($I18=0,0,($W18+$P18)/$I18/IF($H18="USD",INDEX('COD Network Fees'!$B$27:$B$29,MATCH($L18,'COD Network Fees'!$A$27:$A$29,0)),1)))</f>
        <v/>
      </c>
      <c r="AB18" s="42" t="str">
        <f aca="false">IF($B18="","",MATCH($B18,'COD Network Fees'!$A$5:$A$23,0))</f>
        <v/>
      </c>
    </row>
    <row r="19" customFormat="false" ht="15" hidden="false" customHeight="false" outlineLevel="0" collapsed="false">
      <c r="A19" s="34"/>
      <c r="B19" s="34"/>
      <c r="C19" s="34"/>
      <c r="D19" s="34"/>
      <c r="E19" s="35"/>
      <c r="F19" s="35"/>
      <c r="G19" s="35"/>
      <c r="H19" s="34"/>
      <c r="I19" s="36"/>
      <c r="J19" s="37"/>
      <c r="K19" s="37"/>
      <c r="L19" s="38" t="str">
        <f aca="false">IF($AB19="","",INDEX('COD Network Fees'!$C$5:$C$23,$AB19))</f>
        <v/>
      </c>
      <c r="M19" s="9" t="str">
        <f aca="false">IF($AB19="","",$I19*$J19)</f>
        <v/>
      </c>
      <c r="N19" s="9" t="str">
        <f aca="false">IF($AB19="","",$M19*(1-$K19))</f>
        <v/>
      </c>
      <c r="O19" s="9" t="str">
        <f aca="false">IF($AB19="","",$N19*$E19)</f>
        <v/>
      </c>
      <c r="P19" s="9" t="str">
        <f aca="false">IF($AB19="","",$I19*$G19*IF($H19="USD",INDEX('COD Network Fees'!$B$27:$B$29,MATCH($L19,'COD Network Fees'!$A$27:$A$29,0)),1))</f>
        <v/>
      </c>
      <c r="Q19" s="9" t="str">
        <f aca="false">IF($AB19="","",$N19*$F19)</f>
        <v/>
      </c>
      <c r="R19" s="9" t="str">
        <f aca="false">IF($AB19="","",IF($D19="Yes",1,0)*($I19*IF($C19="Cosmetic",INDEX('COD Network Fees'!$G$5:$G$23,$AB19),INDEX('COD Network Fees'!$D$5:$D$23,$AB19))+$M19*IF($C19="Cosmetic",INDEX('COD Network Fees'!$H$5:$H$23,$AB19),INDEX('COD Network Fees'!$E$5:$E$23,$AB19))+$N19*IF($C19="Cosmetic",INDEX('COD Network Fees'!$I$5:$I$23,$AB19),INDEX('COD Network Fees'!$F$5:$F$23,$AB19))))</f>
        <v/>
      </c>
      <c r="S19" s="9" t="str">
        <f aca="false">IF($AB19="","",$N19*IF(AND($D19="No",INDEX('COD Network Fees'!$M$5:$M$23,$AB19)&lt;&gt;""),INDEX('COD Network Fees'!$M$5:$M$23,$AB19),INDEX('COD Network Fees'!$K$5:$K$23,$AB19))+($M19-$N19)*IF(AND($D19="No",INDEX('COD Network Fees'!$M$5:$M$23,$AB19)&lt;&gt;""),INDEX('COD Network Fees'!$M$5:$M$23,$AB19),INDEX('COD Network Fees'!$L$5:$L$23,$AB19)))</f>
        <v/>
      </c>
      <c r="T19" s="9" t="str">
        <f aca="false">IF($AB19="","",$M19*INDEX('COD Network Fees'!$N$5:$N$23,$AB19))</f>
        <v/>
      </c>
      <c r="U19" s="9" t="str">
        <f aca="false">IF($AB19="","",$O19*INDEX('COD Network Fees'!$P$5:$P$23,$AB19))</f>
        <v/>
      </c>
      <c r="V19" s="9" t="str">
        <f aca="false">IF($AB19="","",($O19-$R19-$S19-$T19-$U19)*Calculator!$B$19)</f>
        <v/>
      </c>
      <c r="W19" s="39" t="str">
        <f aca="false">IF($AB19="","",$O19-$P19-$Q19-$R19-$S19-$T19-$U19-$V19)</f>
        <v/>
      </c>
      <c r="X19" s="40" t="str">
        <f aca="false">IF($AB19="","",IF($N19=0,0,$W19/$N19))</f>
        <v/>
      </c>
      <c r="Y19" s="41" t="str">
        <f aca="false">IF($AB19="","",IF($O19=0,0,$W19/$O19))</f>
        <v/>
      </c>
      <c r="Z19" s="41" t="str">
        <f aca="false">IF($AB19="","",IF(($P19+$Q19)=0,0,$W19/($P19+$Q19)))</f>
        <v/>
      </c>
      <c r="AA19" s="40" t="str">
        <f aca="false">IF($AB19="","",IF($I19=0,0,($W19+$P19)/$I19/IF($H19="USD",INDEX('COD Network Fees'!$B$27:$B$29,MATCH($L19,'COD Network Fees'!$A$27:$A$29,0)),1)))</f>
        <v/>
      </c>
      <c r="AB19" s="42" t="str">
        <f aca="false">IF($B19="","",MATCH($B19,'COD Network Fees'!$A$5:$A$23,0))</f>
        <v/>
      </c>
    </row>
    <row r="20" customFormat="false" ht="15" hidden="false" customHeight="false" outlineLevel="0" collapsed="false">
      <c r="A20" s="34"/>
      <c r="B20" s="34"/>
      <c r="C20" s="34"/>
      <c r="D20" s="34"/>
      <c r="E20" s="35"/>
      <c r="F20" s="35"/>
      <c r="G20" s="35"/>
      <c r="H20" s="34"/>
      <c r="I20" s="36"/>
      <c r="J20" s="37"/>
      <c r="K20" s="37"/>
      <c r="L20" s="38" t="str">
        <f aca="false">IF($AB20="","",INDEX('COD Network Fees'!$C$5:$C$23,$AB20))</f>
        <v/>
      </c>
      <c r="M20" s="9" t="str">
        <f aca="false">IF($AB20="","",$I20*$J20)</f>
        <v/>
      </c>
      <c r="N20" s="9" t="str">
        <f aca="false">IF($AB20="","",$M20*(1-$K20))</f>
        <v/>
      </c>
      <c r="O20" s="9" t="str">
        <f aca="false">IF($AB20="","",$N20*$E20)</f>
        <v/>
      </c>
      <c r="P20" s="9" t="str">
        <f aca="false">IF($AB20="","",$I20*$G20*IF($H20="USD",INDEX('COD Network Fees'!$B$27:$B$29,MATCH($L20,'COD Network Fees'!$A$27:$A$29,0)),1))</f>
        <v/>
      </c>
      <c r="Q20" s="9" t="str">
        <f aca="false">IF($AB20="","",$N20*$F20)</f>
        <v/>
      </c>
      <c r="R20" s="9" t="str">
        <f aca="false">IF($AB20="","",IF($D20="Yes",1,0)*($I20*IF($C20="Cosmetic",INDEX('COD Network Fees'!$G$5:$G$23,$AB20),INDEX('COD Network Fees'!$D$5:$D$23,$AB20))+$M20*IF($C20="Cosmetic",INDEX('COD Network Fees'!$H$5:$H$23,$AB20),INDEX('COD Network Fees'!$E$5:$E$23,$AB20))+$N20*IF($C20="Cosmetic",INDEX('COD Network Fees'!$I$5:$I$23,$AB20),INDEX('COD Network Fees'!$F$5:$F$23,$AB20))))</f>
        <v/>
      </c>
      <c r="S20" s="9" t="str">
        <f aca="false">IF($AB20="","",$N20*IF(AND($D20="No",INDEX('COD Network Fees'!$M$5:$M$23,$AB20)&lt;&gt;""),INDEX('COD Network Fees'!$M$5:$M$23,$AB20),INDEX('COD Network Fees'!$K$5:$K$23,$AB20))+($M20-$N20)*IF(AND($D20="No",INDEX('COD Network Fees'!$M$5:$M$23,$AB20)&lt;&gt;""),INDEX('COD Network Fees'!$M$5:$M$23,$AB20),INDEX('COD Network Fees'!$L$5:$L$23,$AB20)))</f>
        <v/>
      </c>
      <c r="T20" s="9" t="str">
        <f aca="false">IF($AB20="","",$M20*INDEX('COD Network Fees'!$N$5:$N$23,$AB20))</f>
        <v/>
      </c>
      <c r="U20" s="9" t="str">
        <f aca="false">IF($AB20="","",$O20*INDEX('COD Network Fees'!$P$5:$P$23,$AB20))</f>
        <v/>
      </c>
      <c r="V20" s="9" t="str">
        <f aca="false">IF($AB20="","",($O20-$R20-$S20-$T20-$U20)*Calculator!$B$19)</f>
        <v/>
      </c>
      <c r="W20" s="39" t="str">
        <f aca="false">IF($AB20="","",$O20-$P20-$Q20-$R20-$S20-$T20-$U20-$V20)</f>
        <v/>
      </c>
      <c r="X20" s="40" t="str">
        <f aca="false">IF($AB20="","",IF($N20=0,0,$W20/$N20))</f>
        <v/>
      </c>
      <c r="Y20" s="41" t="str">
        <f aca="false">IF($AB20="","",IF($O20=0,0,$W20/$O20))</f>
        <v/>
      </c>
      <c r="Z20" s="41" t="str">
        <f aca="false">IF($AB20="","",IF(($P20+$Q20)=0,0,$W20/($P20+$Q20)))</f>
        <v/>
      </c>
      <c r="AA20" s="40" t="str">
        <f aca="false">IF($AB20="","",IF($I20=0,0,($W20+$P20)/$I20/IF($H20="USD",INDEX('COD Network Fees'!$B$27:$B$29,MATCH($L20,'COD Network Fees'!$A$27:$A$29,0)),1)))</f>
        <v/>
      </c>
      <c r="AB20" s="42" t="str">
        <f aca="false">IF($B20="","",MATCH($B20,'COD Network Fees'!$A$5:$A$23,0))</f>
        <v/>
      </c>
    </row>
    <row r="21" customFormat="false" ht="15" hidden="false" customHeight="false" outlineLevel="0" collapsed="false">
      <c r="A21" s="34"/>
      <c r="B21" s="34"/>
      <c r="C21" s="34"/>
      <c r="D21" s="34"/>
      <c r="E21" s="35"/>
      <c r="F21" s="35"/>
      <c r="G21" s="35"/>
      <c r="H21" s="34"/>
      <c r="I21" s="36"/>
      <c r="J21" s="37"/>
      <c r="K21" s="37"/>
      <c r="L21" s="38" t="str">
        <f aca="false">IF($AB21="","",INDEX('COD Network Fees'!$C$5:$C$23,$AB21))</f>
        <v/>
      </c>
      <c r="M21" s="9" t="str">
        <f aca="false">IF($AB21="","",$I21*$J21)</f>
        <v/>
      </c>
      <c r="N21" s="9" t="str">
        <f aca="false">IF($AB21="","",$M21*(1-$K21))</f>
        <v/>
      </c>
      <c r="O21" s="9" t="str">
        <f aca="false">IF($AB21="","",$N21*$E21)</f>
        <v/>
      </c>
      <c r="P21" s="9" t="str">
        <f aca="false">IF($AB21="","",$I21*$G21*IF($H21="USD",INDEX('COD Network Fees'!$B$27:$B$29,MATCH($L21,'COD Network Fees'!$A$27:$A$29,0)),1))</f>
        <v/>
      </c>
      <c r="Q21" s="9" t="str">
        <f aca="false">IF($AB21="","",$N21*$F21)</f>
        <v/>
      </c>
      <c r="R21" s="9" t="str">
        <f aca="false">IF($AB21="","",IF($D21="Yes",1,0)*($I21*IF($C21="Cosmetic",INDEX('COD Network Fees'!$G$5:$G$23,$AB21),INDEX('COD Network Fees'!$D$5:$D$23,$AB21))+$M21*IF($C21="Cosmetic",INDEX('COD Network Fees'!$H$5:$H$23,$AB21),INDEX('COD Network Fees'!$E$5:$E$23,$AB21))+$N21*IF($C21="Cosmetic",INDEX('COD Network Fees'!$I$5:$I$23,$AB21),INDEX('COD Network Fees'!$F$5:$F$23,$AB21))))</f>
        <v/>
      </c>
      <c r="S21" s="9" t="str">
        <f aca="false">IF($AB21="","",$N21*IF(AND($D21="No",INDEX('COD Network Fees'!$M$5:$M$23,$AB21)&lt;&gt;""),INDEX('COD Network Fees'!$M$5:$M$23,$AB21),INDEX('COD Network Fees'!$K$5:$K$23,$AB21))+($M21-$N21)*IF(AND($D21="No",INDEX('COD Network Fees'!$M$5:$M$23,$AB21)&lt;&gt;""),INDEX('COD Network Fees'!$M$5:$M$23,$AB21),INDEX('COD Network Fees'!$L$5:$L$23,$AB21)))</f>
        <v/>
      </c>
      <c r="T21" s="9" t="str">
        <f aca="false">IF($AB21="","",$M21*INDEX('COD Network Fees'!$N$5:$N$23,$AB21))</f>
        <v/>
      </c>
      <c r="U21" s="9" t="str">
        <f aca="false">IF($AB21="","",$O21*INDEX('COD Network Fees'!$P$5:$P$23,$AB21))</f>
        <v/>
      </c>
      <c r="V21" s="9" t="str">
        <f aca="false">IF($AB21="","",($O21-$R21-$S21-$T21-$U21)*Calculator!$B$19)</f>
        <v/>
      </c>
      <c r="W21" s="39" t="str">
        <f aca="false">IF($AB21="","",$O21-$P21-$Q21-$R21-$S21-$T21-$U21-$V21)</f>
        <v/>
      </c>
      <c r="X21" s="40" t="str">
        <f aca="false">IF($AB21="","",IF($N21=0,0,$W21/$N21))</f>
        <v/>
      </c>
      <c r="Y21" s="41" t="str">
        <f aca="false">IF($AB21="","",IF($O21=0,0,$W21/$O21))</f>
        <v/>
      </c>
      <c r="Z21" s="41" t="str">
        <f aca="false">IF($AB21="","",IF(($P21+$Q21)=0,0,$W21/($P21+$Q21)))</f>
        <v/>
      </c>
      <c r="AA21" s="40" t="str">
        <f aca="false">IF($AB21="","",IF($I21=0,0,($W21+$P21)/$I21/IF($H21="USD",INDEX('COD Network Fees'!$B$27:$B$29,MATCH($L21,'COD Network Fees'!$A$27:$A$29,0)),1)))</f>
        <v/>
      </c>
      <c r="AB21" s="42" t="str">
        <f aca="false">IF($B21="","",MATCH($B21,'COD Network Fees'!$A$5:$A$23,0))</f>
        <v/>
      </c>
    </row>
    <row r="22" customFormat="false" ht="15" hidden="false" customHeight="false" outlineLevel="0" collapsed="false">
      <c r="A22" s="34"/>
      <c r="B22" s="34"/>
      <c r="C22" s="34"/>
      <c r="D22" s="34"/>
      <c r="E22" s="35"/>
      <c r="F22" s="35"/>
      <c r="G22" s="35"/>
      <c r="H22" s="34"/>
      <c r="I22" s="36"/>
      <c r="J22" s="37"/>
      <c r="K22" s="37"/>
      <c r="L22" s="38" t="str">
        <f aca="false">IF($AB22="","",INDEX('COD Network Fees'!$C$5:$C$23,$AB22))</f>
        <v/>
      </c>
      <c r="M22" s="9" t="str">
        <f aca="false">IF($AB22="","",$I22*$J22)</f>
        <v/>
      </c>
      <c r="N22" s="9" t="str">
        <f aca="false">IF($AB22="","",$M22*(1-$K22))</f>
        <v/>
      </c>
      <c r="O22" s="9" t="str">
        <f aca="false">IF($AB22="","",$N22*$E22)</f>
        <v/>
      </c>
      <c r="P22" s="9" t="str">
        <f aca="false">IF($AB22="","",$I22*$G22*IF($H22="USD",INDEX('COD Network Fees'!$B$27:$B$29,MATCH($L22,'COD Network Fees'!$A$27:$A$29,0)),1))</f>
        <v/>
      </c>
      <c r="Q22" s="9" t="str">
        <f aca="false">IF($AB22="","",$N22*$F22)</f>
        <v/>
      </c>
      <c r="R22" s="9" t="str">
        <f aca="false">IF($AB22="","",IF($D22="Yes",1,0)*($I22*IF($C22="Cosmetic",INDEX('COD Network Fees'!$G$5:$G$23,$AB22),INDEX('COD Network Fees'!$D$5:$D$23,$AB22))+$M22*IF($C22="Cosmetic",INDEX('COD Network Fees'!$H$5:$H$23,$AB22),INDEX('COD Network Fees'!$E$5:$E$23,$AB22))+$N22*IF($C22="Cosmetic",INDEX('COD Network Fees'!$I$5:$I$23,$AB22),INDEX('COD Network Fees'!$F$5:$F$23,$AB22))))</f>
        <v/>
      </c>
      <c r="S22" s="9" t="str">
        <f aca="false">IF($AB22="","",$N22*IF(AND($D22="No",INDEX('COD Network Fees'!$M$5:$M$23,$AB22)&lt;&gt;""),INDEX('COD Network Fees'!$M$5:$M$23,$AB22),INDEX('COD Network Fees'!$K$5:$K$23,$AB22))+($M22-$N22)*IF(AND($D22="No",INDEX('COD Network Fees'!$M$5:$M$23,$AB22)&lt;&gt;""),INDEX('COD Network Fees'!$M$5:$M$23,$AB22),INDEX('COD Network Fees'!$L$5:$L$23,$AB22)))</f>
        <v/>
      </c>
      <c r="T22" s="9" t="str">
        <f aca="false">IF($AB22="","",$M22*INDEX('COD Network Fees'!$N$5:$N$23,$AB22))</f>
        <v/>
      </c>
      <c r="U22" s="9" t="str">
        <f aca="false">IF($AB22="","",$O22*INDEX('COD Network Fees'!$P$5:$P$23,$AB22))</f>
        <v/>
      </c>
      <c r="V22" s="9" t="str">
        <f aca="false">IF($AB22="","",($O22-$R22-$S22-$T22-$U22)*Calculator!$B$19)</f>
        <v/>
      </c>
      <c r="W22" s="39" t="str">
        <f aca="false">IF($AB22="","",$O22-$P22-$Q22-$R22-$S22-$T22-$U22-$V22)</f>
        <v/>
      </c>
      <c r="X22" s="40" t="str">
        <f aca="false">IF($AB22="","",IF($N22=0,0,$W22/$N22))</f>
        <v/>
      </c>
      <c r="Y22" s="41" t="str">
        <f aca="false">IF($AB22="","",IF($O22=0,0,$W22/$O22))</f>
        <v/>
      </c>
      <c r="Z22" s="41" t="str">
        <f aca="false">IF($AB22="","",IF(($P22+$Q22)=0,0,$W22/($P22+$Q22)))</f>
        <v/>
      </c>
      <c r="AA22" s="40" t="str">
        <f aca="false">IF($AB22="","",IF($I22=0,0,($W22+$P22)/$I22/IF($H22="USD",INDEX('COD Network Fees'!$B$27:$B$29,MATCH($L22,'COD Network Fees'!$A$27:$A$29,0)),1)))</f>
        <v/>
      </c>
      <c r="AB22" s="42" t="str">
        <f aca="false">IF($B22="","",MATCH($B22,'COD Network Fees'!$A$5:$A$23,0))</f>
        <v/>
      </c>
    </row>
    <row r="23" customFormat="false" ht="15" hidden="false" customHeight="false" outlineLevel="0" collapsed="false">
      <c r="A23" s="34"/>
      <c r="B23" s="34"/>
      <c r="C23" s="34"/>
      <c r="D23" s="34"/>
      <c r="E23" s="35"/>
      <c r="F23" s="35"/>
      <c r="G23" s="35"/>
      <c r="H23" s="34"/>
      <c r="I23" s="36"/>
      <c r="J23" s="37"/>
      <c r="K23" s="37"/>
      <c r="L23" s="38" t="str">
        <f aca="false">IF($AB23="","",INDEX('COD Network Fees'!$C$5:$C$23,$AB23))</f>
        <v/>
      </c>
      <c r="M23" s="9" t="str">
        <f aca="false">IF($AB23="","",$I23*$J23)</f>
        <v/>
      </c>
      <c r="N23" s="9" t="str">
        <f aca="false">IF($AB23="","",$M23*(1-$K23))</f>
        <v/>
      </c>
      <c r="O23" s="9" t="str">
        <f aca="false">IF($AB23="","",$N23*$E23)</f>
        <v/>
      </c>
      <c r="P23" s="9" t="str">
        <f aca="false">IF($AB23="","",$I23*$G23*IF($H23="USD",INDEX('COD Network Fees'!$B$27:$B$29,MATCH($L23,'COD Network Fees'!$A$27:$A$29,0)),1))</f>
        <v/>
      </c>
      <c r="Q23" s="9" t="str">
        <f aca="false">IF($AB23="","",$N23*$F23)</f>
        <v/>
      </c>
      <c r="R23" s="9" t="str">
        <f aca="false">IF($AB23="","",IF($D23="Yes",1,0)*($I23*IF($C23="Cosmetic",INDEX('COD Network Fees'!$G$5:$G$23,$AB23),INDEX('COD Network Fees'!$D$5:$D$23,$AB23))+$M23*IF($C23="Cosmetic",INDEX('COD Network Fees'!$H$5:$H$23,$AB23),INDEX('COD Network Fees'!$E$5:$E$23,$AB23))+$N23*IF($C23="Cosmetic",INDEX('COD Network Fees'!$I$5:$I$23,$AB23),INDEX('COD Network Fees'!$F$5:$F$23,$AB23))))</f>
        <v/>
      </c>
      <c r="S23" s="9" t="str">
        <f aca="false">IF($AB23="","",$N23*IF(AND($D23="No",INDEX('COD Network Fees'!$M$5:$M$23,$AB23)&lt;&gt;""),INDEX('COD Network Fees'!$M$5:$M$23,$AB23),INDEX('COD Network Fees'!$K$5:$K$23,$AB23))+($M23-$N23)*IF(AND($D23="No",INDEX('COD Network Fees'!$M$5:$M$23,$AB23)&lt;&gt;""),INDEX('COD Network Fees'!$M$5:$M$23,$AB23),INDEX('COD Network Fees'!$L$5:$L$23,$AB23)))</f>
        <v/>
      </c>
      <c r="T23" s="9" t="str">
        <f aca="false">IF($AB23="","",$M23*INDEX('COD Network Fees'!$N$5:$N$23,$AB23))</f>
        <v/>
      </c>
      <c r="U23" s="9" t="str">
        <f aca="false">IF($AB23="","",$O23*INDEX('COD Network Fees'!$P$5:$P$23,$AB23))</f>
        <v/>
      </c>
      <c r="V23" s="9" t="str">
        <f aca="false">IF($AB23="","",($O23-$R23-$S23-$T23-$U23)*Calculator!$B$19)</f>
        <v/>
      </c>
      <c r="W23" s="39" t="str">
        <f aca="false">IF($AB23="","",$O23-$P23-$Q23-$R23-$S23-$T23-$U23-$V23)</f>
        <v/>
      </c>
      <c r="X23" s="40" t="str">
        <f aca="false">IF($AB23="","",IF($N23=0,0,$W23/$N23))</f>
        <v/>
      </c>
      <c r="Y23" s="41" t="str">
        <f aca="false">IF($AB23="","",IF($O23=0,0,$W23/$O23))</f>
        <v/>
      </c>
      <c r="Z23" s="41" t="str">
        <f aca="false">IF($AB23="","",IF(($P23+$Q23)=0,0,$W23/($P23+$Q23)))</f>
        <v/>
      </c>
      <c r="AA23" s="40" t="str">
        <f aca="false">IF($AB23="","",IF($I23=0,0,($W23+$P23)/$I23/IF($H23="USD",INDEX('COD Network Fees'!$B$27:$B$29,MATCH($L23,'COD Network Fees'!$A$27:$A$29,0)),1)))</f>
        <v/>
      </c>
      <c r="AB23" s="42" t="str">
        <f aca="false">IF($B23="","",MATCH($B23,'COD Network Fees'!$A$5:$A$23,0))</f>
        <v/>
      </c>
    </row>
    <row r="24" customFormat="false" ht="15" hidden="false" customHeight="false" outlineLevel="0" collapsed="false">
      <c r="A24" s="34"/>
      <c r="B24" s="34"/>
      <c r="C24" s="34"/>
      <c r="D24" s="34"/>
      <c r="E24" s="35"/>
      <c r="F24" s="35"/>
      <c r="G24" s="35"/>
      <c r="H24" s="34"/>
      <c r="I24" s="36"/>
      <c r="J24" s="37"/>
      <c r="K24" s="37"/>
      <c r="L24" s="38" t="str">
        <f aca="false">IF($AB24="","",INDEX('COD Network Fees'!$C$5:$C$23,$AB24))</f>
        <v/>
      </c>
      <c r="M24" s="9" t="str">
        <f aca="false">IF($AB24="","",$I24*$J24)</f>
        <v/>
      </c>
      <c r="N24" s="9" t="str">
        <f aca="false">IF($AB24="","",$M24*(1-$K24))</f>
        <v/>
      </c>
      <c r="O24" s="9" t="str">
        <f aca="false">IF($AB24="","",$N24*$E24)</f>
        <v/>
      </c>
      <c r="P24" s="9" t="str">
        <f aca="false">IF($AB24="","",$I24*$G24*IF($H24="USD",INDEX('COD Network Fees'!$B$27:$B$29,MATCH($L24,'COD Network Fees'!$A$27:$A$29,0)),1))</f>
        <v/>
      </c>
      <c r="Q24" s="9" t="str">
        <f aca="false">IF($AB24="","",$N24*$F24)</f>
        <v/>
      </c>
      <c r="R24" s="9" t="str">
        <f aca="false">IF($AB24="","",IF($D24="Yes",1,0)*($I24*IF($C24="Cosmetic",INDEX('COD Network Fees'!$G$5:$G$23,$AB24),INDEX('COD Network Fees'!$D$5:$D$23,$AB24))+$M24*IF($C24="Cosmetic",INDEX('COD Network Fees'!$H$5:$H$23,$AB24),INDEX('COD Network Fees'!$E$5:$E$23,$AB24))+$N24*IF($C24="Cosmetic",INDEX('COD Network Fees'!$I$5:$I$23,$AB24),INDEX('COD Network Fees'!$F$5:$F$23,$AB24))))</f>
        <v/>
      </c>
      <c r="S24" s="9" t="str">
        <f aca="false">IF($AB24="","",$N24*IF(AND($D24="No",INDEX('COD Network Fees'!$M$5:$M$23,$AB24)&lt;&gt;""),INDEX('COD Network Fees'!$M$5:$M$23,$AB24),INDEX('COD Network Fees'!$K$5:$K$23,$AB24))+($M24-$N24)*IF(AND($D24="No",INDEX('COD Network Fees'!$M$5:$M$23,$AB24)&lt;&gt;""),INDEX('COD Network Fees'!$M$5:$M$23,$AB24),INDEX('COD Network Fees'!$L$5:$L$23,$AB24)))</f>
        <v/>
      </c>
      <c r="T24" s="9" t="str">
        <f aca="false">IF($AB24="","",$M24*INDEX('COD Network Fees'!$N$5:$N$23,$AB24))</f>
        <v/>
      </c>
      <c r="U24" s="9" t="str">
        <f aca="false">IF($AB24="","",$O24*INDEX('COD Network Fees'!$P$5:$P$23,$AB24))</f>
        <v/>
      </c>
      <c r="V24" s="9" t="str">
        <f aca="false">IF($AB24="","",($O24-$R24-$S24-$T24-$U24)*Calculator!$B$19)</f>
        <v/>
      </c>
      <c r="W24" s="39" t="str">
        <f aca="false">IF($AB24="","",$O24-$P24-$Q24-$R24-$S24-$T24-$U24-$V24)</f>
        <v/>
      </c>
      <c r="X24" s="40" t="str">
        <f aca="false">IF($AB24="","",IF($N24=0,0,$W24/$N24))</f>
        <v/>
      </c>
      <c r="Y24" s="41" t="str">
        <f aca="false">IF($AB24="","",IF($O24=0,0,$W24/$O24))</f>
        <v/>
      </c>
      <c r="Z24" s="41" t="str">
        <f aca="false">IF($AB24="","",IF(($P24+$Q24)=0,0,$W24/($P24+$Q24)))</f>
        <v/>
      </c>
      <c r="AA24" s="40" t="str">
        <f aca="false">IF($AB24="","",IF($I24=0,0,($W24+$P24)/$I24/IF($H24="USD",INDEX('COD Network Fees'!$B$27:$B$29,MATCH($L24,'COD Network Fees'!$A$27:$A$29,0)),1)))</f>
        <v/>
      </c>
      <c r="AB24" s="42" t="str">
        <f aca="false">IF($B24="","",MATCH($B24,'COD Network Fees'!$A$5:$A$23,0))</f>
        <v/>
      </c>
    </row>
    <row r="26" customFormat="false" ht="15" hidden="false" customHeight="false" outlineLevel="0" collapsed="false">
      <c r="A26" s="2" t="s">
        <v>140</v>
      </c>
    </row>
  </sheetData>
  <conditionalFormatting sqref="W5:W24">
    <cfRule type="cellIs" priority="2" operator="lessThan" aboveAverage="0" equalAverage="0" bottom="0" percent="0" rank="0" text="" dxfId="2">
      <formula>0</formula>
    </cfRule>
    <cfRule type="cellIs" priority="3" operator="greaterThan" aboveAverage="0" equalAverage="0" bottom="0" percent="0" rank="0" text="" dxfId="3">
      <formula>0</formula>
    </cfRule>
  </conditionalFormatting>
  <dataValidations count="4">
    <dataValidation allowBlank="true" errorStyle="stop" operator="between" showDropDown="false" showErrorMessage="false" showInputMessage="false" sqref="B5:B24" type="list">
      <formula1>'COD Network Fees'!$A$5:$A$23</formula1>
      <formula2>0</formula2>
    </dataValidation>
    <dataValidation allowBlank="true" errorStyle="stop" operator="between" showDropDown="false" showErrorMessage="false" showInputMessage="false" sqref="C5:C24" type="list">
      <formula1>"Gadget,Cosmetic"</formula1>
      <formula2>0</formula2>
    </dataValidation>
    <dataValidation allowBlank="true" errorStyle="stop" operator="between" showDropDown="false" showErrorMessage="false" showInputMessage="false" sqref="D5:D24" type="list">
      <formula1>"Yes,No"</formula1>
      <formula2>0</formula2>
    </dataValidation>
    <dataValidation allowBlank="true" errorStyle="stop" operator="between" showDropDown="false" showErrorMessage="false" showInputMessage="false" sqref="H5:H24" type="list">
      <formula1>"USD,Market currency"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16" min="4" style="0" width="12"/>
    <col collapsed="false" customWidth="true" hidden="false" outlineLevel="0" max="17" min="17" style="0" width="55"/>
  </cols>
  <sheetData>
    <row r="1" customFormat="false" ht="17.35" hidden="false" customHeight="false" outlineLevel="0" collapsed="false">
      <c r="A1" s="31" t="s">
        <v>141</v>
      </c>
    </row>
    <row r="2" customFormat="false" ht="15" hidden="false" customHeight="false" outlineLevel="0" collapsed="false">
      <c r="A2" s="2" t="s">
        <v>142</v>
      </c>
    </row>
    <row r="4" customFormat="false" ht="45" hidden="false" customHeight="true" outlineLevel="0" collapsed="false">
      <c r="A4" s="32" t="s">
        <v>116</v>
      </c>
      <c r="B4" s="32" t="s">
        <v>45</v>
      </c>
      <c r="C4" s="32" t="s">
        <v>47</v>
      </c>
      <c r="D4" s="32" t="s">
        <v>143</v>
      </c>
      <c r="E4" s="32" t="s">
        <v>144</v>
      </c>
      <c r="F4" s="32" t="s">
        <v>145</v>
      </c>
      <c r="G4" s="32" t="s">
        <v>146</v>
      </c>
      <c r="H4" s="32" t="s">
        <v>147</v>
      </c>
      <c r="I4" s="32" t="s">
        <v>148</v>
      </c>
      <c r="J4" s="32" t="s">
        <v>149</v>
      </c>
      <c r="K4" s="32" t="s">
        <v>150</v>
      </c>
      <c r="L4" s="32" t="s">
        <v>151</v>
      </c>
      <c r="M4" s="32" t="s">
        <v>152</v>
      </c>
      <c r="N4" s="32" t="s">
        <v>153</v>
      </c>
      <c r="O4" s="32" t="s">
        <v>154</v>
      </c>
      <c r="P4" s="32" t="s">
        <v>155</v>
      </c>
      <c r="Q4" s="32" t="s">
        <v>156</v>
      </c>
    </row>
    <row r="5" customFormat="false" ht="15" hidden="false" customHeight="false" outlineLevel="0" collapsed="false">
      <c r="A5" s="38" t="s">
        <v>157</v>
      </c>
      <c r="B5" s="38" t="s">
        <v>158</v>
      </c>
      <c r="C5" s="38" t="s">
        <v>19</v>
      </c>
      <c r="D5" s="43" t="n">
        <v>0.5</v>
      </c>
      <c r="E5" s="43" t="n">
        <v>1</v>
      </c>
      <c r="F5" s="43" t="n">
        <v>2</v>
      </c>
      <c r="G5" s="43" t="n">
        <v>0.5</v>
      </c>
      <c r="H5" s="43" t="n">
        <v>2</v>
      </c>
      <c r="I5" s="43" t="n">
        <v>3</v>
      </c>
      <c r="J5" s="43" t="n">
        <v>1</v>
      </c>
      <c r="K5" s="43" t="n">
        <v>5.99</v>
      </c>
      <c r="L5" s="43" t="n">
        <v>4.99</v>
      </c>
      <c r="M5" s="43" t="n">
        <v>6.99</v>
      </c>
      <c r="N5" s="43" t="n">
        <v>0</v>
      </c>
      <c r="O5" s="43" t="n">
        <v>1</v>
      </c>
      <c r="P5" s="44" t="n">
        <v>0.05</v>
      </c>
      <c r="Q5" s="45" t="s">
        <v>159</v>
      </c>
    </row>
    <row r="6" customFormat="false" ht="15" hidden="false" customHeight="false" outlineLevel="0" collapsed="false">
      <c r="A6" s="38" t="s">
        <v>135</v>
      </c>
      <c r="B6" s="38" t="s">
        <v>158</v>
      </c>
      <c r="C6" s="38" t="s">
        <v>19</v>
      </c>
      <c r="D6" s="43" t="n">
        <v>0.5</v>
      </c>
      <c r="E6" s="43" t="n">
        <v>1</v>
      </c>
      <c r="F6" s="43" t="n">
        <v>2</v>
      </c>
      <c r="G6" s="43" t="n">
        <v>0.5</v>
      </c>
      <c r="H6" s="43" t="n">
        <v>2</v>
      </c>
      <c r="I6" s="43" t="n">
        <v>3</v>
      </c>
      <c r="J6" s="43" t="n">
        <v>1</v>
      </c>
      <c r="K6" s="43" t="n">
        <v>4.99</v>
      </c>
      <c r="L6" s="43" t="n">
        <v>2.99</v>
      </c>
      <c r="M6" s="43" t="n">
        <v>6.99</v>
      </c>
      <c r="N6" s="43" t="n">
        <v>0</v>
      </c>
      <c r="O6" s="43" t="n">
        <v>1</v>
      </c>
      <c r="P6" s="44" t="n">
        <v>0.05</v>
      </c>
      <c r="Q6" s="45" t="s">
        <v>159</v>
      </c>
    </row>
    <row r="7" customFormat="false" ht="15" hidden="false" customHeight="false" outlineLevel="0" collapsed="false">
      <c r="A7" s="38" t="s">
        <v>160</v>
      </c>
      <c r="B7" s="38" t="s">
        <v>158</v>
      </c>
      <c r="C7" s="38" t="s">
        <v>19</v>
      </c>
      <c r="D7" s="43" t="n">
        <v>0.5</v>
      </c>
      <c r="E7" s="43" t="n">
        <v>1</v>
      </c>
      <c r="F7" s="43" t="n">
        <v>2</v>
      </c>
      <c r="G7" s="43" t="n">
        <v>0.5</v>
      </c>
      <c r="H7" s="43" t="n">
        <v>2</v>
      </c>
      <c r="I7" s="43" t="n">
        <v>3</v>
      </c>
      <c r="J7" s="43" t="n">
        <v>1</v>
      </c>
      <c r="K7" s="43" t="n">
        <v>6.99</v>
      </c>
      <c r="L7" s="43" t="n">
        <v>5.99</v>
      </c>
      <c r="M7" s="43" t="n">
        <v>7.99</v>
      </c>
      <c r="N7" s="43" t="n">
        <v>0</v>
      </c>
      <c r="O7" s="43" t="n">
        <v>1</v>
      </c>
      <c r="P7" s="44" t="n">
        <v>0.05</v>
      </c>
      <c r="Q7" s="45" t="s">
        <v>159</v>
      </c>
    </row>
    <row r="8" customFormat="false" ht="15" hidden="false" customHeight="false" outlineLevel="0" collapsed="false">
      <c r="A8" s="38" t="s">
        <v>161</v>
      </c>
      <c r="B8" s="38" t="s">
        <v>158</v>
      </c>
      <c r="C8" s="38" t="s">
        <v>19</v>
      </c>
      <c r="D8" s="43" t="n">
        <v>0.5</v>
      </c>
      <c r="E8" s="43" t="n">
        <v>1</v>
      </c>
      <c r="F8" s="43" t="n">
        <v>2</v>
      </c>
      <c r="G8" s="43" t="n">
        <v>0.5</v>
      </c>
      <c r="H8" s="43" t="n">
        <v>2</v>
      </c>
      <c r="I8" s="43" t="n">
        <v>3</v>
      </c>
      <c r="J8" s="43" t="n">
        <v>1</v>
      </c>
      <c r="K8" s="43" t="n">
        <v>6.99</v>
      </c>
      <c r="L8" s="43" t="n">
        <v>5.99</v>
      </c>
      <c r="M8" s="43" t="n">
        <v>7.99</v>
      </c>
      <c r="N8" s="43" t="n">
        <v>0</v>
      </c>
      <c r="O8" s="43" t="n">
        <v>1</v>
      </c>
      <c r="P8" s="44" t="n">
        <v>0.05</v>
      </c>
      <c r="Q8" s="45" t="s">
        <v>159</v>
      </c>
    </row>
    <row r="9" customFormat="false" ht="15" hidden="false" customHeight="false" outlineLevel="0" collapsed="false">
      <c r="A9" s="38" t="s">
        <v>162</v>
      </c>
      <c r="B9" s="38" t="s">
        <v>158</v>
      </c>
      <c r="C9" s="38" t="s">
        <v>19</v>
      </c>
      <c r="D9" s="43" t="n">
        <v>0.5</v>
      </c>
      <c r="E9" s="43" t="n">
        <v>1</v>
      </c>
      <c r="F9" s="43" t="n">
        <v>2</v>
      </c>
      <c r="G9" s="43" t="n">
        <v>0.5</v>
      </c>
      <c r="H9" s="43" t="n">
        <v>2</v>
      </c>
      <c r="I9" s="43" t="n">
        <v>3</v>
      </c>
      <c r="J9" s="43" t="n">
        <v>1</v>
      </c>
      <c r="K9" s="43" t="n">
        <v>6.99</v>
      </c>
      <c r="L9" s="43" t="n">
        <v>5.99</v>
      </c>
      <c r="M9" s="43" t="n">
        <v>7.99</v>
      </c>
      <c r="N9" s="43" t="n">
        <v>0</v>
      </c>
      <c r="O9" s="43" t="n">
        <v>1</v>
      </c>
      <c r="P9" s="44" t="n">
        <v>0.05</v>
      </c>
      <c r="Q9" s="45" t="s">
        <v>159</v>
      </c>
    </row>
    <row r="10" customFormat="false" ht="15" hidden="false" customHeight="false" outlineLevel="0" collapsed="false">
      <c r="A10" s="38" t="s">
        <v>163</v>
      </c>
      <c r="B10" s="38" t="s">
        <v>158</v>
      </c>
      <c r="C10" s="38" t="s">
        <v>19</v>
      </c>
      <c r="D10" s="43" t="n">
        <v>0.5</v>
      </c>
      <c r="E10" s="43" t="n">
        <v>1</v>
      </c>
      <c r="F10" s="43" t="n">
        <v>2</v>
      </c>
      <c r="G10" s="43" t="n">
        <v>0.5</v>
      </c>
      <c r="H10" s="43" t="n">
        <v>2</v>
      </c>
      <c r="I10" s="43" t="n">
        <v>3</v>
      </c>
      <c r="J10" s="43" t="n">
        <v>1</v>
      </c>
      <c r="K10" s="43" t="n">
        <v>6.99</v>
      </c>
      <c r="L10" s="43" t="n">
        <v>5.99</v>
      </c>
      <c r="M10" s="43" t="n">
        <v>7.99</v>
      </c>
      <c r="N10" s="43" t="n">
        <v>0</v>
      </c>
      <c r="O10" s="43" t="n">
        <v>1</v>
      </c>
      <c r="P10" s="44" t="n">
        <v>0.05</v>
      </c>
      <c r="Q10" s="45" t="s">
        <v>159</v>
      </c>
    </row>
    <row r="11" customFormat="false" ht="15" hidden="false" customHeight="false" outlineLevel="0" collapsed="false">
      <c r="A11" s="38" t="s">
        <v>5</v>
      </c>
      <c r="B11" s="38" t="s">
        <v>5</v>
      </c>
      <c r="C11" s="38" t="s">
        <v>164</v>
      </c>
      <c r="D11" s="43" t="n">
        <v>2</v>
      </c>
      <c r="E11" s="43" t="n">
        <v>4</v>
      </c>
      <c r="F11" s="43" t="n">
        <v>7</v>
      </c>
      <c r="G11" s="43" t="n">
        <v>2</v>
      </c>
      <c r="H11" s="43" t="n">
        <v>4</v>
      </c>
      <c r="I11" s="43" t="n">
        <v>7</v>
      </c>
      <c r="J11" s="43" t="n">
        <v>5</v>
      </c>
      <c r="K11" s="43" t="n">
        <v>35</v>
      </c>
      <c r="L11" s="43" t="n">
        <v>9</v>
      </c>
      <c r="M11" s="43"/>
      <c r="N11" s="43" t="n">
        <v>8</v>
      </c>
      <c r="O11" s="43" t="n">
        <v>0</v>
      </c>
      <c r="P11" s="44" t="n">
        <v>0</v>
      </c>
      <c r="Q11" s="45" t="s">
        <v>165</v>
      </c>
    </row>
    <row r="12" customFormat="false" ht="15" hidden="false" customHeight="false" outlineLevel="0" collapsed="false">
      <c r="A12" s="38" t="s">
        <v>138</v>
      </c>
      <c r="B12" s="38" t="s">
        <v>166</v>
      </c>
      <c r="C12" s="38" t="s">
        <v>167</v>
      </c>
      <c r="D12" s="43" t="n">
        <v>0.5</v>
      </c>
      <c r="E12" s="43" t="n">
        <v>1</v>
      </c>
      <c r="F12" s="43" t="n">
        <v>2</v>
      </c>
      <c r="G12" s="43" t="n">
        <v>0.5</v>
      </c>
      <c r="H12" s="43" t="n">
        <v>1</v>
      </c>
      <c r="I12" s="43" t="n">
        <v>2</v>
      </c>
      <c r="J12" s="43" t="n">
        <v>1</v>
      </c>
      <c r="K12" s="43" t="n">
        <v>7.99</v>
      </c>
      <c r="L12" s="43" t="n">
        <v>6.99</v>
      </c>
      <c r="M12" s="43"/>
      <c r="N12" s="43" t="n">
        <v>0</v>
      </c>
      <c r="O12" s="43" t="n">
        <v>0</v>
      </c>
      <c r="P12" s="44" t="n">
        <v>0.05</v>
      </c>
      <c r="Q12" s="45" t="s">
        <v>168</v>
      </c>
    </row>
    <row r="13" customFormat="false" ht="15" hidden="false" customHeight="false" outlineLevel="0" collapsed="false">
      <c r="A13" s="38" t="s">
        <v>169</v>
      </c>
      <c r="B13" s="38" t="s">
        <v>166</v>
      </c>
      <c r="C13" s="38" t="s">
        <v>167</v>
      </c>
      <c r="D13" s="43" t="n">
        <v>0.5</v>
      </c>
      <c r="E13" s="43" t="n">
        <v>1</v>
      </c>
      <c r="F13" s="43" t="n">
        <v>2</v>
      </c>
      <c r="G13" s="43" t="n">
        <v>0.5</v>
      </c>
      <c r="H13" s="43" t="n">
        <v>1</v>
      </c>
      <c r="I13" s="43" t="n">
        <v>2</v>
      </c>
      <c r="J13" s="43" t="n">
        <v>1</v>
      </c>
      <c r="K13" s="43" t="n">
        <v>7.99</v>
      </c>
      <c r="L13" s="43" t="n">
        <v>8.99</v>
      </c>
      <c r="M13" s="43"/>
      <c r="N13" s="43" t="n">
        <v>0</v>
      </c>
      <c r="O13" s="43" t="n">
        <v>0</v>
      </c>
      <c r="P13" s="44" t="n">
        <v>0.05</v>
      </c>
      <c r="Q13" s="45" t="s">
        <v>168</v>
      </c>
    </row>
    <row r="14" customFormat="false" ht="15" hidden="false" customHeight="false" outlineLevel="0" collapsed="false">
      <c r="A14" s="38" t="s">
        <v>170</v>
      </c>
      <c r="B14" s="38" t="s">
        <v>166</v>
      </c>
      <c r="C14" s="38" t="s">
        <v>167</v>
      </c>
      <c r="D14" s="43" t="n">
        <v>0.5</v>
      </c>
      <c r="E14" s="43" t="n">
        <v>1</v>
      </c>
      <c r="F14" s="43" t="n">
        <v>2</v>
      </c>
      <c r="G14" s="43" t="n">
        <v>0.5</v>
      </c>
      <c r="H14" s="43" t="n">
        <v>1</v>
      </c>
      <c r="I14" s="43" t="n">
        <v>2</v>
      </c>
      <c r="J14" s="43" t="n">
        <v>1</v>
      </c>
      <c r="K14" s="43" t="n">
        <v>6.99</v>
      </c>
      <c r="L14" s="43" t="n">
        <v>5.99</v>
      </c>
      <c r="M14" s="43"/>
      <c r="N14" s="43" t="n">
        <v>0</v>
      </c>
      <c r="O14" s="43" t="n">
        <v>0</v>
      </c>
      <c r="P14" s="44" t="n">
        <v>0.05</v>
      </c>
      <c r="Q14" s="45" t="s">
        <v>168</v>
      </c>
    </row>
    <row r="15" customFormat="false" ht="15" hidden="false" customHeight="false" outlineLevel="0" collapsed="false">
      <c r="A15" s="38" t="s">
        <v>171</v>
      </c>
      <c r="B15" s="38" t="s">
        <v>166</v>
      </c>
      <c r="C15" s="38" t="s">
        <v>167</v>
      </c>
      <c r="D15" s="43" t="n">
        <v>0.5</v>
      </c>
      <c r="E15" s="43" t="n">
        <v>1</v>
      </c>
      <c r="F15" s="43" t="n">
        <v>2</v>
      </c>
      <c r="G15" s="43" t="n">
        <v>0.5</v>
      </c>
      <c r="H15" s="43" t="n">
        <v>1</v>
      </c>
      <c r="I15" s="43" t="n">
        <v>2</v>
      </c>
      <c r="J15" s="43" t="n">
        <v>1</v>
      </c>
      <c r="K15" s="43" t="n">
        <v>7.99</v>
      </c>
      <c r="L15" s="43" t="n">
        <v>6.99</v>
      </c>
      <c r="M15" s="43"/>
      <c r="N15" s="43" t="n">
        <v>0</v>
      </c>
      <c r="O15" s="43" t="n">
        <v>0</v>
      </c>
      <c r="P15" s="44" t="n">
        <v>0.05</v>
      </c>
      <c r="Q15" s="45" t="s">
        <v>168</v>
      </c>
    </row>
    <row r="16" customFormat="false" ht="15" hidden="false" customHeight="false" outlineLevel="0" collapsed="false">
      <c r="A16" s="38" t="s">
        <v>172</v>
      </c>
      <c r="B16" s="38" t="s">
        <v>166</v>
      </c>
      <c r="C16" s="38" t="s">
        <v>167</v>
      </c>
      <c r="D16" s="43" t="n">
        <v>0.5</v>
      </c>
      <c r="E16" s="43" t="n">
        <v>1</v>
      </c>
      <c r="F16" s="43" t="n">
        <v>2</v>
      </c>
      <c r="G16" s="43" t="n">
        <v>0.5</v>
      </c>
      <c r="H16" s="43" t="n">
        <v>1</v>
      </c>
      <c r="I16" s="43" t="n">
        <v>2</v>
      </c>
      <c r="J16" s="43" t="n">
        <v>1</v>
      </c>
      <c r="K16" s="43" t="n">
        <v>7.99</v>
      </c>
      <c r="L16" s="43" t="n">
        <v>6.99</v>
      </c>
      <c r="M16" s="43"/>
      <c r="N16" s="43" t="n">
        <v>0</v>
      </c>
      <c r="O16" s="43" t="n">
        <v>0</v>
      </c>
      <c r="P16" s="44" t="n">
        <v>0.05</v>
      </c>
      <c r="Q16" s="45" t="s">
        <v>168</v>
      </c>
    </row>
    <row r="17" customFormat="false" ht="15" hidden="false" customHeight="false" outlineLevel="0" collapsed="false">
      <c r="A17" s="38" t="s">
        <v>173</v>
      </c>
      <c r="B17" s="38" t="s">
        <v>166</v>
      </c>
      <c r="C17" s="38" t="s">
        <v>167</v>
      </c>
      <c r="D17" s="43" t="n">
        <v>0.5</v>
      </c>
      <c r="E17" s="43" t="n">
        <v>1</v>
      </c>
      <c r="F17" s="43" t="n">
        <v>2</v>
      </c>
      <c r="G17" s="43" t="n">
        <v>0.5</v>
      </c>
      <c r="H17" s="43" t="n">
        <v>1</v>
      </c>
      <c r="I17" s="43" t="n">
        <v>2</v>
      </c>
      <c r="J17" s="43" t="n">
        <v>1</v>
      </c>
      <c r="K17" s="43" t="n">
        <v>7.99</v>
      </c>
      <c r="L17" s="43" t="n">
        <v>6.99</v>
      </c>
      <c r="M17" s="43"/>
      <c r="N17" s="43" t="n">
        <v>0</v>
      </c>
      <c r="O17" s="43" t="n">
        <v>0</v>
      </c>
      <c r="P17" s="44" t="n">
        <v>0.05</v>
      </c>
      <c r="Q17" s="45" t="s">
        <v>168</v>
      </c>
    </row>
    <row r="18" customFormat="false" ht="15" hidden="false" customHeight="false" outlineLevel="0" collapsed="false">
      <c r="A18" s="38" t="s">
        <v>174</v>
      </c>
      <c r="B18" s="38" t="s">
        <v>166</v>
      </c>
      <c r="C18" s="38" t="s">
        <v>167</v>
      </c>
      <c r="D18" s="43" t="n">
        <v>0.5</v>
      </c>
      <c r="E18" s="43" t="n">
        <v>1</v>
      </c>
      <c r="F18" s="43" t="n">
        <v>2</v>
      </c>
      <c r="G18" s="43" t="n">
        <v>0.5</v>
      </c>
      <c r="H18" s="43" t="n">
        <v>1</v>
      </c>
      <c r="I18" s="43" t="n">
        <v>2</v>
      </c>
      <c r="J18" s="43" t="n">
        <v>1</v>
      </c>
      <c r="K18" s="43" t="n">
        <v>7.99</v>
      </c>
      <c r="L18" s="43" t="n">
        <v>6.99</v>
      </c>
      <c r="M18" s="43"/>
      <c r="N18" s="43" t="n">
        <v>0</v>
      </c>
      <c r="O18" s="43" t="n">
        <v>0</v>
      </c>
      <c r="P18" s="44" t="n">
        <v>0.05</v>
      </c>
      <c r="Q18" s="45" t="s">
        <v>168</v>
      </c>
    </row>
    <row r="19" customFormat="false" ht="15" hidden="false" customHeight="false" outlineLevel="0" collapsed="false">
      <c r="A19" s="38" t="s">
        <v>175</v>
      </c>
      <c r="B19" s="38" t="s">
        <v>166</v>
      </c>
      <c r="C19" s="38" t="s">
        <v>167</v>
      </c>
      <c r="D19" s="43" t="n">
        <v>0.5</v>
      </c>
      <c r="E19" s="43" t="n">
        <v>1</v>
      </c>
      <c r="F19" s="43" t="n">
        <v>2</v>
      </c>
      <c r="G19" s="43" t="n">
        <v>0.5</v>
      </c>
      <c r="H19" s="43" t="n">
        <v>1</v>
      </c>
      <c r="I19" s="43" t="n">
        <v>2</v>
      </c>
      <c r="J19" s="43" t="n">
        <v>1</v>
      </c>
      <c r="K19" s="43" t="n">
        <v>7.99</v>
      </c>
      <c r="L19" s="43" t="n">
        <v>6.99</v>
      </c>
      <c r="M19" s="43"/>
      <c r="N19" s="43" t="n">
        <v>0</v>
      </c>
      <c r="O19" s="43" t="n">
        <v>0</v>
      </c>
      <c r="P19" s="44" t="n">
        <v>0.05</v>
      </c>
      <c r="Q19" s="45" t="s">
        <v>168</v>
      </c>
    </row>
    <row r="20" customFormat="false" ht="15" hidden="false" customHeight="false" outlineLevel="0" collapsed="false">
      <c r="A20" s="38" t="s">
        <v>176</v>
      </c>
      <c r="B20" s="38" t="s">
        <v>166</v>
      </c>
      <c r="C20" s="38" t="s">
        <v>167</v>
      </c>
      <c r="D20" s="43" t="n">
        <v>0.5</v>
      </c>
      <c r="E20" s="43" t="n">
        <v>1</v>
      </c>
      <c r="F20" s="43" t="n">
        <v>2</v>
      </c>
      <c r="G20" s="43" t="n">
        <v>0.5</v>
      </c>
      <c r="H20" s="43" t="n">
        <v>1</v>
      </c>
      <c r="I20" s="43" t="n">
        <v>2</v>
      </c>
      <c r="J20" s="43" t="n">
        <v>1</v>
      </c>
      <c r="K20" s="43" t="n">
        <v>7.99</v>
      </c>
      <c r="L20" s="43" t="n">
        <v>6.99</v>
      </c>
      <c r="M20" s="43"/>
      <c r="N20" s="43" t="n">
        <v>0</v>
      </c>
      <c r="O20" s="43" t="n">
        <v>0</v>
      </c>
      <c r="P20" s="44" t="n">
        <v>0.05</v>
      </c>
      <c r="Q20" s="45" t="s">
        <v>168</v>
      </c>
    </row>
    <row r="21" customFormat="false" ht="15" hidden="false" customHeight="false" outlineLevel="0" collapsed="false">
      <c r="A21" s="38" t="s">
        <v>177</v>
      </c>
      <c r="B21" s="38" t="s">
        <v>166</v>
      </c>
      <c r="C21" s="38" t="s">
        <v>167</v>
      </c>
      <c r="D21" s="43" t="n">
        <v>0.5</v>
      </c>
      <c r="E21" s="43" t="n">
        <v>1</v>
      </c>
      <c r="F21" s="43" t="n">
        <v>2</v>
      </c>
      <c r="G21" s="43" t="n">
        <v>0.5</v>
      </c>
      <c r="H21" s="43" t="n">
        <v>1</v>
      </c>
      <c r="I21" s="43" t="n">
        <v>2</v>
      </c>
      <c r="J21" s="43" t="n">
        <v>1</v>
      </c>
      <c r="K21" s="43" t="n">
        <v>7.99</v>
      </c>
      <c r="L21" s="43" t="n">
        <v>6.99</v>
      </c>
      <c r="M21" s="43"/>
      <c r="N21" s="43" t="n">
        <v>0</v>
      </c>
      <c r="O21" s="43" t="n">
        <v>0</v>
      </c>
      <c r="P21" s="44" t="n">
        <v>0.05</v>
      </c>
      <c r="Q21" s="45" t="s">
        <v>168</v>
      </c>
    </row>
    <row r="22" customFormat="false" ht="15" hidden="false" customHeight="false" outlineLevel="0" collapsed="false">
      <c r="A22" s="38" t="s">
        <v>178</v>
      </c>
      <c r="B22" s="38" t="s">
        <v>179</v>
      </c>
      <c r="C22" s="38" t="s">
        <v>19</v>
      </c>
      <c r="D22" s="43" t="n">
        <v>0.25</v>
      </c>
      <c r="E22" s="43" t="n">
        <v>0.5</v>
      </c>
      <c r="F22" s="43" t="n">
        <v>1</v>
      </c>
      <c r="G22" s="43" t="n">
        <v>0.25</v>
      </c>
      <c r="H22" s="43" t="n">
        <v>0.5</v>
      </c>
      <c r="I22" s="43" t="n">
        <v>1</v>
      </c>
      <c r="J22" s="43" t="n">
        <v>1</v>
      </c>
      <c r="K22" s="43" t="n">
        <v>4.49</v>
      </c>
      <c r="L22" s="43" t="n">
        <v>4.49</v>
      </c>
      <c r="M22" s="43"/>
      <c r="N22" s="43" t="n">
        <v>0</v>
      </c>
      <c r="O22" s="43" t="n">
        <v>0</v>
      </c>
      <c r="P22" s="44" t="n">
        <v>0.05</v>
      </c>
      <c r="Q22" s="45" t="s">
        <v>180</v>
      </c>
    </row>
    <row r="23" customFormat="false" ht="15" hidden="false" customHeight="false" outlineLevel="0" collapsed="false">
      <c r="A23" s="38" t="s">
        <v>181</v>
      </c>
      <c r="B23" s="38" t="s">
        <v>179</v>
      </c>
      <c r="C23" s="38" t="s">
        <v>19</v>
      </c>
      <c r="D23" s="43" t="n">
        <v>0.25</v>
      </c>
      <c r="E23" s="43" t="n">
        <v>0.5</v>
      </c>
      <c r="F23" s="43" t="n">
        <v>1</v>
      </c>
      <c r="G23" s="43" t="n">
        <v>0.25</v>
      </c>
      <c r="H23" s="43" t="n">
        <v>0.5</v>
      </c>
      <c r="I23" s="43" t="n">
        <v>1</v>
      </c>
      <c r="J23" s="43" t="n">
        <v>1</v>
      </c>
      <c r="K23" s="43" t="n">
        <v>7.99</v>
      </c>
      <c r="L23" s="43" t="n">
        <v>7.99</v>
      </c>
      <c r="M23" s="43"/>
      <c r="N23" s="43" t="n">
        <v>0</v>
      </c>
      <c r="O23" s="43" t="n">
        <v>0</v>
      </c>
      <c r="P23" s="44" t="n">
        <v>0.05</v>
      </c>
      <c r="Q23" s="45" t="s">
        <v>180</v>
      </c>
    </row>
    <row r="25" customFormat="false" ht="15" hidden="false" customHeight="false" outlineLevel="0" collapsed="false">
      <c r="A25" s="23" t="s">
        <v>182</v>
      </c>
    </row>
    <row r="26" customFormat="false" ht="15" hidden="false" customHeight="false" outlineLevel="0" collapsed="false">
      <c r="A26" s="46" t="s">
        <v>47</v>
      </c>
      <c r="B26" s="46" t="s">
        <v>183</v>
      </c>
    </row>
    <row r="27" customFormat="false" ht="15" hidden="false" customHeight="false" outlineLevel="0" collapsed="false">
      <c r="A27" s="4" t="s">
        <v>19</v>
      </c>
      <c r="B27" s="47" t="n">
        <v>1</v>
      </c>
      <c r="C27" s="2" t="s">
        <v>184</v>
      </c>
    </row>
    <row r="28" customFormat="false" ht="15" hidden="false" customHeight="false" outlineLevel="0" collapsed="false">
      <c r="A28" s="4" t="s">
        <v>164</v>
      </c>
      <c r="B28" s="47" t="n">
        <v>9.2</v>
      </c>
    </row>
    <row r="29" customFormat="false" ht="15" hidden="false" customHeight="false" outlineLevel="0" collapsed="false">
      <c r="A29" s="4" t="s">
        <v>167</v>
      </c>
      <c r="B29" s="47" t="n">
        <v>0.87</v>
      </c>
    </row>
    <row r="31" customFormat="false" ht="15" hidden="false" customHeight="false" outlineLevel="0" collapsed="false">
      <c r="A31" s="23" t="s">
        <v>185</v>
      </c>
    </row>
    <row r="32" customFormat="false" ht="15" hidden="false" customHeight="false" outlineLevel="0" collapsed="false">
      <c r="A32" s="4" t="s">
        <v>186</v>
      </c>
    </row>
    <row r="33" customFormat="false" ht="15" hidden="false" customHeight="false" outlineLevel="0" collapsed="false">
      <c r="A33" s="4" t="s">
        <v>187</v>
      </c>
    </row>
    <row r="34" customFormat="false" ht="15" hidden="false" customHeight="false" outlineLevel="0" collapsed="false">
      <c r="A34" s="4" t="s">
        <v>188</v>
      </c>
    </row>
    <row r="35" customFormat="false" ht="15" hidden="false" customHeight="false" outlineLevel="0" collapsed="false">
      <c r="A35" s="4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2026-10-04T18:11:38Z</dcterms:created>
  <dc:creator>openpyxl</dc:creator>
  <dc:description/>
  <dc:language>en-US</dc:language>
  <cp:lastModifiedBy/>
  <dcterms:modified xsi:type="dcterms:W3CDTF">2026-10-04T18:11:39Z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
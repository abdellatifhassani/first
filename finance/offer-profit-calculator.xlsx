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Start Here" sheetId="1" state="visible" r:id="rId3"/>
    <sheet name="Product &amp; Offers" sheetId="2" state="visible" r:id="rId4"/>
    <sheet name="Countries" sheetId="3" state="visible" r:id="rId5"/>
    <sheet name="Order Detail" sheetId="4" state="visible" r:id="rId6"/>
    <sheet name="Settings" sheetId="5" state="visible" r:id="rId7"/>
    <sheet name="Shipping Rates" sheetId="6" state="visible" r:id="rId8"/>
    <sheet name="VAT Rates" sheetId="7" state="visible" r:id="rId9"/>
    <sheet name="Calc" sheetId="8" state="hidden" r:id="rId10"/>
  </sheets>
  <definedNames>
    <definedName function="false" hidden="false" name="Card_Ret_Label" vbProcedure="false">Settings!$C$24</definedName>
    <definedName function="false" hidden="false" name="C_Countries" vbProcedure="false">Countries!$A$6:$A$32</definedName>
    <definedName function="false" hidden="false" name="Dest_Country" vbProcedure="false">'Shipping Rates'!$A$4:$A$42</definedName>
    <definedName function="false" hidden="false" name="Dest_Courier" vbProcedure="false">'Shipping Rates'!$B$4:$B$42</definedName>
    <definedName function="false" hidden="false" name="Dest_Fuel" vbProcedure="false">'Shipping Rates'!$D$4:$D$42</definedName>
    <definedName function="false" hidden="false" name="Dest_SMS" vbProcedure="false">'Shipping Rates'!$E$4:$E$42</definedName>
    <definedName function="false" hidden="false" name="D_Row" vbProcedure="false">'Order Detail'!$E$1</definedName>
    <definedName function="false" hidden="false" name="FF_Accept_Big" vbProcedure="false">Settings!$C$22</definedName>
    <definedName function="false" hidden="false" name="FF_Accept_Small" vbProcedure="false">Settings!$C$21</definedName>
    <definedName function="false" hidden="false" name="FF_Base" vbProcedure="false">Settings!$C$18</definedName>
    <definedName function="false" hidden="false" name="FF_Extra_5kg" vbProcedure="false">Settings!$C$20</definedName>
    <definedName function="false" hidden="false" name="FF_Extra_Item" vbProcedure="false">Settings!$C$19</definedName>
    <definedName function="false" hidden="false" name="FF_Reverse" vbProcedure="false">Settings!$C$23</definedName>
    <definedName function="false" hidden="false" name="FF_VAT_Mult" vbProcedure="false">Settings!$C$15</definedName>
    <definedName function="false" hidden="false" name="FF_VAT_Rate" vbProcedure="false">Settings!$C$13</definedName>
    <definedName function="false" hidden="false" name="FF_VAT_Reclaim" vbProcedure="false">Settings!$C$14</definedName>
    <definedName function="false" hidden="false" name="Fixed_Month" vbProcedure="false">Settings!$C$34</definedName>
    <definedName function="false" hidden="false" name="Fixed_Per_Order" vbProcedure="false">Settings!$C$35</definedName>
    <definedName function="false" hidden="false" name="Orders_Month" vbProcedure="false">Settings!$C$27</definedName>
    <definedName function="false" hidden="false" name="Other_Fixed" vbProcedure="false">Settings!$C$33</definedName>
    <definedName function="false" hidden="false" name="Pallets" vbProcedure="false">Settings!$C$28</definedName>
    <definedName function="false" hidden="false" name="Platform_Fee" vbProcedure="false">Settings!$C$32</definedName>
    <definedName function="false" hidden="false" name="PP_Locations" vbProcedure="false">Settings!$C$31</definedName>
    <definedName function="false" hidden="false" name="P_Cost" vbProcedure="false">'Product &amp; Offers'!$C$5</definedName>
    <definedName function="false" hidden="false" name="P_Freight" vbProcedure="false">'Product &amp; Offers'!$C$6</definedName>
    <definedName function="false" hidden="false" name="P_Landed" vbProcedure="false">'Product &amp; Offers'!$C$10</definedName>
    <definedName function="false" hidden="false" name="P_PackW" vbProcedure="false">'Product &amp; Offers'!$C$8</definedName>
    <definedName function="false" hidden="false" name="P_Resell" vbProcedure="false">'Product &amp; Offers'!$C$9</definedName>
    <definedName function="false" hidden="false" name="P_Weight" vbProcedure="false">'Product &amp; Offers'!$C$7</definedName>
    <definedName function="false" hidden="false" name="Rate_Table" vbProcedure="false">'Shipping Rates'!$F$4:$Q$42</definedName>
    <definedName function="false" hidden="false" name="Rate_Weights" vbProcedure="false">'Shipping Rates'!$F$3:$Q$3</definedName>
    <definedName function="false" hidden="false" name="Storage_Min" vbProcedure="false">Settings!$C$30</definedName>
    <definedName function="false" hidden="false" name="Storage_Pallet" vbProcedure="false">Settings!$C$29</definedName>
    <definedName function="false" hidden="false" name="Stripe_Fixed" vbProcedure="false">Settings!$C$8</definedName>
    <definedName function="false" hidden="false" name="Stripe_Pct" vbProcedure="false">Settings!$C$9</definedName>
    <definedName function="false" hidden="false" name="St_Base" vbProcedure="false">Settings!$C$5</definedName>
    <definedName function="false" hidden="false" name="St_Intl" vbProcedure="false">Settings!$C$6</definedName>
    <definedName function="false" hidden="false" name="St_Settle" vbProcedure="false">Settings!$C$7</definedName>
    <definedName function="false" hidden="false" name="VAT_Country" vbProcedure="false">'VAT Rates'!$A$4:$A$30</definedName>
    <definedName function="false" hidden="false" name="VAT_On_Sales" vbProcedure="false">Settings!$C$12</definedName>
    <definedName function="false" hidden="false" name="VAT_Rate" vbProcedure="false">'VAT Rates'!$D$4:$D$30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<sst xmlns="http://schemas.openxmlformats.org/spreadsheetml/2006/main" count="384" uniqueCount="230">
  <si>
    <t xml:space="preserve">Profit calculator: how to use it</t>
  </si>
  <si>
    <t xml:space="preserve">1. Product &amp; Offers: what you pay for the product (once), and your offers: Buy 1, Buy 2 Get 1 Free, Buy 1 Get 1 Free.</t>
  </si>
  <si>
    <t xml:space="preserve">2. Countries: for each country, your selling price, shipping fee, free-shipping amount, home courier and cost per result. The net profit per order for every offer appears on the same row (green = profit, red = loss).</t>
  </si>
  <si>
    <t xml:space="preserve">3. Order Detail: pick a country and an offer to see every cost of that order line by line.</t>
  </si>
  <si>
    <t xml:space="preserve">4. Settings: Stripe fees, VAT, euShipments fees and your monthly fixed costs. Fill once.</t>
  </si>
  <si>
    <t xml:space="preserve">What is taken out of each sale</t>
  </si>
  <si>
    <t xml:space="preserve">VAT of the customer's country · product landed cost · courier (by parcel weight, incl. fuel surcharge &amp; SMS) · euShipments fulfilment · shipping bag · 20% VAT on euShipments invoices (if not reclaimable) · Stripe fee · cost per result · share of monthly fixed costs · expected refunds.</t>
  </si>
  <si>
    <t xml:space="preserve">To check</t>
  </si>
  <si>
    <t xml:space="preserve">• Stripe fee for keeping euros: 1% is a placeholder until you see the real % in Stripe (Settings).</t>
  </si>
  <si>
    <t xml:space="preserve">• euShipments prices are from your offer file (excl. VAT). Confirm they are still valid.</t>
  </si>
  <si>
    <t xml:space="preserve">• VAT: your prices are treated as including the customer's country VAT. Confirm your VAT set-up with an accountant.</t>
  </si>
  <si>
    <t xml:space="preserve">• Not included: island/remote surcharges (Italy, Croatia), income tax, chargebacks.</t>
  </si>
  <si>
    <t xml:space="preserve">Product &amp; offers (the same for every country)</t>
  </si>
  <si>
    <t xml:space="preserve">Yellow cells = your inputs. The values filled in are examples: replace them.</t>
  </si>
  <si>
    <t xml:space="preserve">PRODUCT</t>
  </si>
  <si>
    <t xml:space="preserve">What you pay the supplier, per unit</t>
  </si>
  <si>
    <t xml:space="preserve">Freight + customs to the warehouse, per unit</t>
  </si>
  <si>
    <t xml:space="preserve">Weight per unit (kg)</t>
  </si>
  <si>
    <t xml:space="preserve">Shipping bag weight (kg)</t>
  </si>
  <si>
    <t xml:space="preserve">% of returned units you can sell again</t>
  </si>
  <si>
    <t xml:space="preserve">→ Landed cost per unit (incl. warehouse acceptance fee)</t>
  </si>
  <si>
    <t xml:space="preserve">OFFERS (the price per unit is set per country on the 'Countries' tab)</t>
  </si>
  <si>
    <t xml:space="preserve">Offer name</t>
  </si>
  <si>
    <t xml:space="preserve">Units paid</t>
  </si>
  <si>
    <t xml:space="preserve">Free units</t>
  </si>
  <si>
    <t xml:space="preserve">Bag cost per order</t>
  </si>
  <si>
    <t xml:space="preserve">Units shipped</t>
  </si>
  <si>
    <t xml:space="preserve">Buy 1</t>
  </si>
  <si>
    <t xml:space="preserve">Customer pays: units paid × the country's price per unit.</t>
  </si>
  <si>
    <t xml:space="preserve">Buy 2 Get 1 Free</t>
  </si>
  <si>
    <t xml:space="preserve">Bag: flyer bag A4 €0.08, A3 €0.13 (3 units).</t>
  </si>
  <si>
    <t xml:space="preserve">Buy 1 Get 1 Free</t>
  </si>
  <si>
    <t xml:space="preserve">Units paid = 0 → the offer is ignored.</t>
  </si>
  <si>
    <t xml:space="preserve">Countries: your selling price per country → net profit per order for each offer</t>
  </si>
  <si>
    <t xml:space="preserve">Yellow = your inputs (examples filled in: replace them). Profit is after VAT, product, courier, fulfilment, Stripe, ads, refunds and fixed costs. See any country/offer line by line on 'Order Detail'.</t>
  </si>
  <si>
    <t xml:space="preserve">YOUR INPUTS PER COUNTRY</t>
  </si>
  <si>
    <t xml:space="preserve">NET PROFIT PER ORDER (€)</t>
  </si>
  <si>
    <t xml:space="preserve">BREAK-EVEN COST PER RESULT (€)</t>
  </si>
  <si>
    <t xml:space="preserve">Country</t>
  </si>
  <si>
    <t xml:space="preserve">Home courier</t>
  </si>
  <si>
    <t xml:space="preserve">Selling price per unit (incl. VAT)</t>
  </si>
  <si>
    <t xml:space="preserve">Shipping fee charged (incl. VAT)</t>
  </si>
  <si>
    <t xml:space="preserve">Free shipping from (€) blank = never</t>
  </si>
  <si>
    <t xml:space="preserve">Cost per result (ads)</t>
  </si>
  <si>
    <t xml:space="preserve">Refund rate</t>
  </si>
  <si>
    <t xml:space="preserve">Romania</t>
  </si>
  <si>
    <t xml:space="preserve">Sameday RO</t>
  </si>
  <si>
    <t xml:space="preserve">Bulgaria</t>
  </si>
  <si>
    <t xml:space="preserve">Sameday BG</t>
  </si>
  <si>
    <t xml:space="preserve">Greece</t>
  </si>
  <si>
    <t xml:space="preserve">Geniki</t>
  </si>
  <si>
    <t xml:space="preserve">Cyprus</t>
  </si>
  <si>
    <t xml:space="preserve">Hungary</t>
  </si>
  <si>
    <t xml:space="preserve">Sameday HU</t>
  </si>
  <si>
    <t xml:space="preserve">Poland</t>
  </si>
  <si>
    <t xml:space="preserve">InPost Home</t>
  </si>
  <si>
    <t xml:space="preserve">Czech Republic</t>
  </si>
  <si>
    <t xml:space="preserve">CZ Post</t>
  </si>
  <si>
    <t xml:space="preserve">Slovakia</t>
  </si>
  <si>
    <t xml:space="preserve">SPS</t>
  </si>
  <si>
    <t xml:space="preserve">Croatia</t>
  </si>
  <si>
    <t xml:space="preserve">DPD HR</t>
  </si>
  <si>
    <t xml:space="preserve">Slovenia</t>
  </si>
  <si>
    <t xml:space="preserve">DPD SI</t>
  </si>
  <si>
    <t xml:space="preserve">Italy</t>
  </si>
  <si>
    <t xml:space="preserve">Poste Italiane</t>
  </si>
  <si>
    <t xml:space="preserve">Austria</t>
  </si>
  <si>
    <t xml:space="preserve">DPD AT</t>
  </si>
  <si>
    <t xml:space="preserve">Germany</t>
  </si>
  <si>
    <t xml:space="preserve">Hermes</t>
  </si>
  <si>
    <t xml:space="preserve">Lithuania</t>
  </si>
  <si>
    <t xml:space="preserve">Venipak</t>
  </si>
  <si>
    <t xml:space="preserve">Latvia</t>
  </si>
  <si>
    <t xml:space="preserve">Estonia</t>
  </si>
  <si>
    <t xml:space="preserve">Belgium</t>
  </si>
  <si>
    <t xml:space="preserve">PostNL</t>
  </si>
  <si>
    <t xml:space="preserve">Denmark</t>
  </si>
  <si>
    <t xml:space="preserve">PostNord</t>
  </si>
  <si>
    <t xml:space="preserve">Netherlands</t>
  </si>
  <si>
    <t xml:space="preserve">Luxembourg</t>
  </si>
  <si>
    <t xml:space="preserve">Sweden</t>
  </si>
  <si>
    <t xml:space="preserve">Finland</t>
  </si>
  <si>
    <t xml:space="preserve">Posti</t>
  </si>
  <si>
    <t xml:space="preserve">France</t>
  </si>
  <si>
    <t xml:space="preserve">ColisPrive</t>
  </si>
  <si>
    <t xml:space="preserve">Malta</t>
  </si>
  <si>
    <t xml:space="preserve">Malta Post</t>
  </si>
  <si>
    <t xml:space="preserve">Spain</t>
  </si>
  <si>
    <t xml:space="preserve">CTT Express</t>
  </si>
  <si>
    <t xml:space="preserve">Portugal</t>
  </si>
  <si>
    <t xml:space="preserve">Ireland</t>
  </si>
  <si>
    <t xml:space="preserve">Fastway</t>
  </si>
  <si>
    <t xml:space="preserve">Home courier: dropdown with the home-delivery couriers of that country (pre-filled with the cheapest).</t>
  </si>
  <si>
    <t xml:space="preserve">Break-even cost per result = the most you can pay in ads per purchase before losing money on that offer.</t>
  </si>
  <si>
    <t xml:space="preserve">No price for a country = 'enter price'. Delete a country's price if you don't sell there.</t>
  </si>
  <si>
    <t xml:space="preserve">Order detail: one order, line by line</t>
  </si>
  <si>
    <t xml:space="preserve">Offer number (1–3)</t>
  </si>
  <si>
    <t xml:space="preserve">THE ORDER</t>
  </si>
  <si>
    <t xml:space="preserve">Courier</t>
  </si>
  <si>
    <t xml:space="preserve">Countries tab</t>
  </si>
  <si>
    <t xml:space="preserve">Products total (incl. VAT)</t>
  </si>
  <si>
    <t xml:space="preserve">Units paid × price per unit</t>
  </si>
  <si>
    <t xml:space="preserve">Shipping charged (incl. VAT)</t>
  </si>
  <si>
    <t xml:space="preserve">0 when the order reaches the free-shipping amount</t>
  </si>
  <si>
    <t xml:space="preserve">Customer pays</t>
  </si>
  <si>
    <t xml:space="preserve">VAT (paid to the tax office)</t>
  </si>
  <si>
    <t xml:space="preserve">Revenue excl. VAT</t>
  </si>
  <si>
    <t xml:space="preserve">COSTS</t>
  </si>
  <si>
    <t xml:space="preserve">Product (landed cost × units)</t>
  </si>
  <si>
    <t xml:space="preserve">Product &amp; Offers tab</t>
  </si>
  <si>
    <t xml:space="preserve">Courier (incl. fuel surcharge &amp; SMS)</t>
  </si>
  <si>
    <t xml:space="preserve">Shipping Rates tab, for the parcel weight</t>
  </si>
  <si>
    <t xml:space="preserve">euShipments fulfilment</t>
  </si>
  <si>
    <t xml:space="preserve">€0.65 per order + €0.35 per item above 2</t>
  </si>
  <si>
    <t xml:space="preserve">Shipping bag</t>
  </si>
  <si>
    <t xml:space="preserve">VAT on euShipments invoices</t>
  </si>
  <si>
    <t xml:space="preserve">Only if you can't reclaim it (Settings)</t>
  </si>
  <si>
    <t xml:space="preserve">Stripe fee</t>
  </si>
  <si>
    <t xml:space="preserve">Settings</t>
  </si>
  <si>
    <t xml:space="preserve">Share of monthly fixed costs</t>
  </si>
  <si>
    <t xml:space="preserve">Storage, Shopify… ÷ expected orders (Settings)</t>
  </si>
  <si>
    <t xml:space="preserve">Refunds (expected)</t>
  </si>
  <si>
    <t xml:space="preserve">Refund rate × (refunded revenue − units resold + €0.65 processing)</t>
  </si>
  <si>
    <t xml:space="preserve">Total costs</t>
  </si>
  <si>
    <t xml:space="preserve">RESULT</t>
  </si>
  <si>
    <t xml:space="preserve">NET PROFIT PER ORDER</t>
  </si>
  <si>
    <t xml:space="preserve">Margin</t>
  </si>
  <si>
    <t xml:space="preserve">% of revenue excl. VAT</t>
  </si>
  <si>
    <t xml:space="preserve">Break-even cost per result</t>
  </si>
  <si>
    <t xml:space="preserve">The most you can pay in ads per purchase</t>
  </si>
  <si>
    <t xml:space="preserve">Break-even ROAS</t>
  </si>
  <si>
    <t xml:space="preserve">Below this ROAS you lose money</t>
  </si>
  <si>
    <t xml:space="preserve">Status</t>
  </si>
  <si>
    <t xml:space="preserve">Settings (shared by all countries)</t>
  </si>
  <si>
    <t xml:space="preserve">Stripe (US account, euros paid out to your Wise EUR account)</t>
  </si>
  <si>
    <t xml:space="preserve">Base fee</t>
  </si>
  <si>
    <t xml:space="preserve">Stripe US standard rate.</t>
  </si>
  <si>
    <t xml:space="preserve">Non-US card surcharge</t>
  </si>
  <si>
    <t xml:space="preserve">All EU customer cards count as international on a US account.</t>
  </si>
  <si>
    <t xml:space="preserve">Fee for keeping euros (EUR settlement)</t>
  </si>
  <si>
    <t xml:space="preserve">Replaces the 1% EUR→USD conversion. 1% is a placeholder: Stripe shows the real % when you add EUR (Balances → Add settlement currency). Type it here.</t>
  </si>
  <si>
    <t xml:space="preserve">Fixed fee per payment (€)</t>
  </si>
  <si>
    <t xml:space="preserve">$0.30 converted to euros.</t>
  </si>
  <si>
    <t xml:space="preserve">→ Total % per payment</t>
  </si>
  <si>
    <t xml:space="preserve">VAT</t>
  </si>
  <si>
    <t xml:space="preserve">Do your prices include VAT you pay to the tax office?</t>
  </si>
  <si>
    <t xml:space="preserve">Yes</t>
  </si>
  <si>
    <t xml:space="preserve">Yes = the country's VAT (VAT Rates tab) is taken out of each sale. Set No only to see profit before VAT.</t>
  </si>
  <si>
    <t xml:space="preserve">VAT added to euShipments invoices</t>
  </si>
  <si>
    <t xml:space="preserve">Bulgarian VAT; the offer prices exclude it.</t>
  </si>
  <si>
    <t xml:space="preserve">Can you reclaim that VAT?</t>
  </si>
  <si>
    <t xml:space="preserve">No</t>
  </si>
  <si>
    <t xml:space="preserve">No = it's a cost (safe default). Yes = you deduct it (VAT-registered in Bulgaria) or they invoice without VAT.</t>
  </si>
  <si>
    <t xml:space="preserve">→ Multiplier on warehouse &amp; courier costs</t>
  </si>
  <si>
    <t xml:space="preserve">euShipments fulfilment fees (€ excl. VAT, from your offer)</t>
  </si>
  <si>
    <t xml:space="preserve">Order fulfilment (up to 2 items and 5 kg)</t>
  </si>
  <si>
    <t xml:space="preserve">Each extra item above 2</t>
  </si>
  <si>
    <t xml:space="preserve">Each extra 5 kg above 5 kg</t>
  </si>
  <si>
    <t xml:space="preserve">Stock acceptance per unit, up to 0.25 kg</t>
  </si>
  <si>
    <t xml:space="preserve">Added to the landed cost of each unit.</t>
  </si>
  <si>
    <t xml:space="preserve">Stock acceptance per unit, over 0.25 kg</t>
  </si>
  <si>
    <t xml:space="preserve">Processing a returned order</t>
  </si>
  <si>
    <t xml:space="preserve">Do you pay the return shipping on refunds?</t>
  </si>
  <si>
    <t xml:space="preserve">Yes = you pay the courier to bring the parcel back (same price as sending it).</t>
  </si>
  <si>
    <t xml:space="preserve">Monthly fixed costs (split over your orders)</t>
  </si>
  <si>
    <t xml:space="preserve">Expected orders per month</t>
  </si>
  <si>
    <t xml:space="preserve">Pallets of stock in the warehouse</t>
  </si>
  <si>
    <t xml:space="preserve">Storage per pallet per month</t>
  </si>
  <si>
    <t xml:space="preserve">Minimum storage charge per month (under 300 orders)</t>
  </si>
  <si>
    <t xml:space="preserve">Number of products (SKUs)</t>
  </si>
  <si>
    <t xml:space="preserve">€0.55 pick &amp; pack location each per month.</t>
  </si>
  <si>
    <t xml:space="preserve">Shopify / store subscription per month</t>
  </si>
  <si>
    <t xml:space="preserve">Other monthly costs</t>
  </si>
  <si>
    <t xml:space="preserve">Apps, accountant, tools…</t>
  </si>
  <si>
    <t xml:space="preserve">→ Fixed costs per month</t>
  </si>
  <si>
    <t xml:space="preserve">→ Fixed costs per order</t>
  </si>
  <si>
    <t xml:space="preserve">Home-delivery courier prices from the euShipments warehouse (Ruse, BG): € excl. VAT, per parcel</t>
  </si>
  <si>
    <t xml:space="preserve">From your euShipments offer. Weight columns = 'up to X kg'. Blank = not offered at that weight. Update the blue cells if euShipments changes prices.</t>
  </si>
  <si>
    <t xml:space="preserve">Transit from Ruse</t>
  </si>
  <si>
    <t xml:space="preserve">Fuel surcharge</t>
  </si>
  <si>
    <t xml:space="preserve">SMS fee €</t>
  </si>
  <si>
    <t xml:space="preserve">Notes</t>
  </si>
  <si>
    <t xml:space="preserve">Cargus</t>
  </si>
  <si>
    <t xml:space="preserve">1-2 business days</t>
  </si>
  <si>
    <t xml:space="preserve">FAN</t>
  </si>
  <si>
    <t xml:space="preserve">Econt Home</t>
  </si>
  <si>
    <t xml:space="preserve">Change of delivery data: +€1.50</t>
  </si>
  <si>
    <t xml:space="preserve">ACS</t>
  </si>
  <si>
    <t xml:space="preserve">2-4 business days</t>
  </si>
  <si>
    <t xml:space="preserve">Speedex</t>
  </si>
  <si>
    <t xml:space="preserve">4-10 business days</t>
  </si>
  <si>
    <t xml:space="preserve">GLS HU</t>
  </si>
  <si>
    <t xml:space="preserve">2-3 business days</t>
  </si>
  <si>
    <t xml:space="preserve">ExpressOne HU</t>
  </si>
  <si>
    <t xml:space="preserve">3-4 business days</t>
  </si>
  <si>
    <t xml:space="preserve">PPL</t>
  </si>
  <si>
    <t xml:space="preserve">GLS SK Home</t>
  </si>
  <si>
    <t xml:space="preserve">GLS HR</t>
  </si>
  <si>
    <t xml:space="preserve">Islands: +30% on the shipping price</t>
  </si>
  <si>
    <t xml:space="preserve">Overseas</t>
  </si>
  <si>
    <t xml:space="preserve">Islands: +40% on the shipping price</t>
  </si>
  <si>
    <t xml:space="preserve">Posta Slovenje</t>
  </si>
  <si>
    <t xml:space="preserve">4-7 business days</t>
  </si>
  <si>
    <t xml:space="preserve">Sardinia/Sicily/Calabria &amp; remote postcodes: surcharges</t>
  </si>
  <si>
    <t xml:space="preserve">5-6 business days</t>
  </si>
  <si>
    <t xml:space="preserve">5-7 business days</t>
  </si>
  <si>
    <t xml:space="preserve">4-6 business days</t>
  </si>
  <si>
    <t xml:space="preserve">6-11 bus.days</t>
  </si>
  <si>
    <t xml:space="preserve">4-9 bus. days</t>
  </si>
  <si>
    <t xml:space="preserve">VAT rate by country</t>
  </si>
  <si>
    <t xml:space="preserve">Standard rates (July 2026). If your product gets a reduced rate in a country (e.g. treated as food), type it in column C.</t>
  </si>
  <si>
    <t xml:space="preserve">Standard VAT</t>
  </si>
  <si>
    <t xml:space="preserve">Your rate (optional)</t>
  </si>
  <si>
    <t xml:space="preserve">Rate used</t>
  </si>
  <si>
    <t xml:space="preserve">Calculation engine (no inputs here). One row per country × offer.</t>
  </si>
  <si>
    <t xml:space="preserve">Offer #</t>
  </si>
  <si>
    <t xml:space="preserve">Offer</t>
  </si>
  <si>
    <t xml:space="preserve">Price per unit</t>
  </si>
  <si>
    <t xml:space="preserve">Customer pays (incl. VAT)</t>
  </si>
  <si>
    <t xml:space="preserve">VAT rate</t>
  </si>
  <si>
    <t xml:space="preserve">Product cost (landed)</t>
  </si>
  <si>
    <t xml:space="preserve">Parcel weight</t>
  </si>
  <si>
    <t xml:space="preserve">Courier row</t>
  </si>
  <si>
    <t xml:space="preserve">Courier tariff</t>
  </si>
  <si>
    <t xml:space="preserve">Courier (incl. fuel &amp; SMS)</t>
  </si>
  <si>
    <t xml:space="preserve">Fulfilment</t>
  </si>
  <si>
    <t xml:space="preserve">Bag</t>
  </si>
  <si>
    <t xml:space="preserve">Cost per result</t>
  </si>
  <si>
    <t xml:space="preserve">Fixed costs share</t>
  </si>
  <si>
    <t xml:space="preserve">NET PROFIT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</si>
</sst>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\€#,##0.00;[RED]&quot;(€&quot;#,##0.00\);\–"/>
    <numFmt numFmtId="166" formatCode="0.00&quot; kg&quot;"/>
    <numFmt numFmtId="167" formatCode="0.0%;[RED]\-0.0%;\–"/>
    <numFmt numFmtId="168" formatCode="@"/>
    <numFmt numFmtId="169" formatCode="0"/>
    <numFmt numFmtId="170" formatCode="\€0.00"/>
    <numFmt numFmtId="171" formatCode="General"/>
    <numFmt numFmtId="172" formatCode="0.00\x"/>
    <numFmt numFmtId="173" formatCode="0.00%;[RED]\-0.00%;\–"/>
    <numFmt numFmtId="174" formatCode="#,##0"/>
    <numFmt numFmtId="175" formatCode="0.0"/>
    <numFmt numFmtId="176" formatCode="0.##&quot; kg&quot;"/>
    <numFmt numFmtId="177" formatCode="0.0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3"/>
      <color rgb="FF00000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8"/>
      <color rgb="FFFFFF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i val="true"/>
      <sz val="9"/>
      <color rgb="FF7F7F7F"/>
      <name val="Arial"/>
      <family val="0"/>
      <charset val="1"/>
    </font>
    <font>
      <sz val="9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FFF9C4"/>
        <bgColor rgb="FFFFFF99"/>
      </patternFill>
    </fill>
    <fill>
      <patternFill patternType="solid">
        <fgColor rgb="FF1F3864"/>
        <bgColor rgb="FF333333"/>
      </patternFill>
    </fill>
    <fill>
      <patternFill patternType="solid">
        <fgColor rgb="FF2F5597"/>
        <bgColor rgb="FF1F3864"/>
      </patternFill>
    </fill>
    <fill>
      <patternFill patternType="solid">
        <fgColor rgb="FFE2EFDA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5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5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9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9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9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9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9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9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8CBAD"/>
        </patternFill>
      </fill>
    </dxf>
    <dxf>
      <fill>
        <patternFill>
          <bgColor rgb="FFC6EFCE"/>
        </patternFill>
      </fill>
    </dxf>
    <dxf>
      <font>
        <name val="Arial"/>
        <charset val="1"/>
        <family val="0"/>
        <i val="1"/>
        <color rgb="FF9C000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9C4"/>
      <rgbColor rgb="FFE2EFDA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B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23.85" hidden="false" customHeight="false" outlineLevel="0" collapsed="false">
      <c r="B4" s="2" t="s">
        <v>2</v>
      </c>
    </row>
    <row r="5" customFormat="false" ht="15" hidden="false" customHeight="false" outlineLevel="0" collapsed="false">
      <c r="B5" s="2" t="s">
        <v>3</v>
      </c>
    </row>
    <row r="6" customFormat="false" ht="15" hidden="false" customHeight="false" outlineLevel="0" collapsed="false">
      <c r="B6" s="2" t="s">
        <v>4</v>
      </c>
    </row>
    <row r="7" customFormat="false" ht="15" hidden="false" customHeight="false" outlineLevel="0" collapsed="false">
      <c r="B7" s="2"/>
    </row>
    <row r="8" customFormat="false" ht="15" hidden="false" customHeight="false" outlineLevel="0" collapsed="false">
      <c r="B8" s="3" t="s">
        <v>5</v>
      </c>
    </row>
    <row r="9" customFormat="false" ht="35.05" hidden="false" customHeight="false" outlineLevel="0" collapsed="false">
      <c r="B9" s="2" t="s">
        <v>6</v>
      </c>
    </row>
    <row r="10" customFormat="false" ht="15" hidden="false" customHeight="false" outlineLevel="0" collapsed="false">
      <c r="B10" s="2"/>
    </row>
    <row r="11" customFormat="false" ht="15" hidden="false" customHeight="false" outlineLevel="0" collapsed="false">
      <c r="B11" s="3" t="s">
        <v>7</v>
      </c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2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G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4"/>
    <col collapsed="false" customWidth="true" hidden="false" outlineLevel="0" max="4" min="3" style="0" width="12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50"/>
  </cols>
  <sheetData>
    <row r="1" customFormat="false" ht="16.15" hidden="false" customHeight="false" outlineLevel="0" collapsed="false">
      <c r="B1" s="4" t="s">
        <v>12</v>
      </c>
    </row>
    <row r="2" customFormat="false" ht="15" hidden="false" customHeight="false" outlineLevel="0" collapsed="false">
      <c r="B2" s="5" t="s">
        <v>13</v>
      </c>
    </row>
    <row r="4" customFormat="false" ht="15" hidden="false" customHeight="false" outlineLevel="0" collapsed="false">
      <c r="B4" s="6" t="s">
        <v>14</v>
      </c>
      <c r="C4" s="7"/>
      <c r="D4" s="7"/>
      <c r="E4" s="7"/>
      <c r="F4" s="7"/>
      <c r="G4" s="7"/>
    </row>
    <row r="5" customFormat="false" ht="15" hidden="false" customHeight="false" outlineLevel="0" collapsed="false">
      <c r="B5" s="8" t="s">
        <v>15</v>
      </c>
      <c r="C5" s="9" t="n">
        <v>4.5</v>
      </c>
    </row>
    <row r="6" customFormat="false" ht="15" hidden="false" customHeight="false" outlineLevel="0" collapsed="false">
      <c r="B6" s="8" t="s">
        <v>16</v>
      </c>
      <c r="C6" s="9" t="n">
        <v>0.8</v>
      </c>
    </row>
    <row r="7" customFormat="false" ht="15" hidden="false" customHeight="false" outlineLevel="0" collapsed="false">
      <c r="B7" s="8" t="s">
        <v>17</v>
      </c>
      <c r="C7" s="10" t="n">
        <v>0.25</v>
      </c>
    </row>
    <row r="8" customFormat="false" ht="15" hidden="false" customHeight="false" outlineLevel="0" collapsed="false">
      <c r="B8" s="8" t="s">
        <v>18</v>
      </c>
      <c r="C8" s="10" t="n">
        <v>0.05</v>
      </c>
    </row>
    <row r="9" customFormat="false" ht="15" hidden="false" customHeight="false" outlineLevel="0" collapsed="false">
      <c r="B9" s="8" t="s">
        <v>19</v>
      </c>
      <c r="C9" s="11" t="n">
        <v>0.8</v>
      </c>
    </row>
    <row r="10" customFormat="false" ht="15" hidden="false" customHeight="false" outlineLevel="0" collapsed="false">
      <c r="B10" s="12" t="s">
        <v>20</v>
      </c>
      <c r="C10" s="13" t="n">
        <f aca="false">P_Cost+P_Freight+IF(P_Weight&lt;=0.25,FF_Accept_Small,FF_Accept_Big)</f>
        <v>5.38</v>
      </c>
    </row>
    <row r="12" customFormat="false" ht="15" hidden="false" customHeight="false" outlineLevel="0" collapsed="false">
      <c r="B12" s="6" t="s">
        <v>21</v>
      </c>
      <c r="C12" s="7"/>
      <c r="D12" s="7"/>
      <c r="E12" s="7"/>
      <c r="F12" s="7"/>
      <c r="G12" s="7"/>
    </row>
    <row r="13" customFormat="false" ht="30" hidden="false" customHeight="true" outlineLevel="0" collapsed="false">
      <c r="B13" s="14" t="s">
        <v>22</v>
      </c>
      <c r="C13" s="14" t="s">
        <v>23</v>
      </c>
      <c r="D13" s="14" t="s">
        <v>24</v>
      </c>
      <c r="E13" s="14" t="s">
        <v>25</v>
      </c>
      <c r="F13" s="14" t="s">
        <v>26</v>
      </c>
    </row>
    <row r="14" customFormat="false" ht="15" hidden="false" customHeight="false" outlineLevel="0" collapsed="false">
      <c r="B14" s="15" t="s">
        <v>27</v>
      </c>
      <c r="C14" s="16" t="n">
        <v>1</v>
      </c>
      <c r="D14" s="16" t="n">
        <v>0</v>
      </c>
      <c r="E14" s="17" t="n">
        <v>0.08</v>
      </c>
      <c r="F14" s="18" t="n">
        <f aca="false">C14+D14</f>
        <v>1</v>
      </c>
      <c r="G14" s="19" t="s">
        <v>28</v>
      </c>
    </row>
    <row r="15" customFormat="false" ht="15" hidden="false" customHeight="false" outlineLevel="0" collapsed="false">
      <c r="B15" s="15" t="s">
        <v>29</v>
      </c>
      <c r="C15" s="16" t="n">
        <v>2</v>
      </c>
      <c r="D15" s="16" t="n">
        <v>1</v>
      </c>
      <c r="E15" s="17" t="n">
        <v>0.13</v>
      </c>
      <c r="F15" s="18" t="n">
        <f aca="false">C15+D15</f>
        <v>3</v>
      </c>
      <c r="G15" s="19" t="s">
        <v>30</v>
      </c>
    </row>
    <row r="16" customFormat="false" ht="15" hidden="false" customHeight="false" outlineLevel="0" collapsed="false">
      <c r="B16" s="15" t="s">
        <v>31</v>
      </c>
      <c r="C16" s="16" t="n">
        <v>1</v>
      </c>
      <c r="D16" s="16" t="n">
        <v>1</v>
      </c>
      <c r="E16" s="17" t="n">
        <v>0.08</v>
      </c>
      <c r="F16" s="18" t="n">
        <f aca="false">C16+D16</f>
        <v>2</v>
      </c>
      <c r="G16" s="19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5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2"/>
    <col collapsed="false" customWidth="true" hidden="false" outlineLevel="0" max="11" min="9" style="0" width="13"/>
    <col collapsed="false" customWidth="true" hidden="false" outlineLevel="0" max="12" min="12" style="0" width="2"/>
    <col collapsed="false" customWidth="true" hidden="false" outlineLevel="0" max="15" min="13" style="0" width="13"/>
  </cols>
  <sheetData>
    <row r="1" customFormat="false" ht="16.15" hidden="false" customHeight="false" outlineLevel="0" collapsed="false">
      <c r="A1" s="4" t="s">
        <v>33</v>
      </c>
    </row>
    <row r="2" customFormat="false" ht="15" hidden="false" customHeight="false" outlineLevel="0" collapsed="false">
      <c r="A2" s="5" t="s">
        <v>34</v>
      </c>
    </row>
    <row r="4" customFormat="false" ht="15" hidden="false" customHeight="true" outlineLevel="0" collapsed="false">
      <c r="A4" s="20" t="s">
        <v>35</v>
      </c>
      <c r="B4" s="20"/>
      <c r="C4" s="20"/>
      <c r="D4" s="20"/>
      <c r="E4" s="20"/>
      <c r="F4" s="20"/>
      <c r="G4" s="20"/>
      <c r="I4" s="20" t="s">
        <v>36</v>
      </c>
      <c r="J4" s="20"/>
      <c r="K4" s="20"/>
      <c r="M4" s="20" t="s">
        <v>37</v>
      </c>
      <c r="N4" s="20"/>
      <c r="O4" s="20"/>
    </row>
    <row r="5" customFormat="false" ht="45.75" hidden="false" customHeight="true" outlineLevel="0" collapsed="false">
      <c r="A5" s="14" t="s">
        <v>38</v>
      </c>
      <c r="B5" s="14" t="s">
        <v>39</v>
      </c>
      <c r="C5" s="14" t="s">
        <v>40</v>
      </c>
      <c r="D5" s="14" t="s">
        <v>41</v>
      </c>
      <c r="E5" s="14" t="s">
        <v>42</v>
      </c>
      <c r="F5" s="14" t="s">
        <v>43</v>
      </c>
      <c r="G5" s="14" t="s">
        <v>44</v>
      </c>
      <c r="I5" s="14" t="str">
        <f aca="false">'Product &amp; Offers'!$B$14</f>
        <v>Buy 1</v>
      </c>
      <c r="J5" s="14" t="str">
        <f aca="false">'Product &amp; Offers'!$B$15</f>
        <v>Buy 2 Get 1 Free</v>
      </c>
      <c r="K5" s="14" t="str">
        <f aca="false">'Product &amp; Offers'!$B$16</f>
        <v>Buy 1 Get 1 Free</v>
      </c>
      <c r="M5" s="14" t="str">
        <f aca="false">'Product &amp; Offers'!$B$14</f>
        <v>Buy 1</v>
      </c>
      <c r="N5" s="14" t="str">
        <f aca="false">'Product &amp; Offers'!$B$15</f>
        <v>Buy 2 Get 1 Free</v>
      </c>
      <c r="O5" s="14" t="str">
        <f aca="false">'Product &amp; Offers'!$B$16</f>
        <v>Buy 1 Get 1 Free</v>
      </c>
    </row>
    <row r="6" customFormat="false" ht="15" hidden="false" customHeight="false" outlineLevel="0" collapsed="false">
      <c r="A6" s="21" t="s">
        <v>45</v>
      </c>
      <c r="B6" s="22" t="s">
        <v>46</v>
      </c>
      <c r="C6" s="9" t="n">
        <v>29.9</v>
      </c>
      <c r="D6" s="9" t="n">
        <v>4.99</v>
      </c>
      <c r="E6" s="9" t="n">
        <v>50</v>
      </c>
      <c r="F6" s="9" t="n">
        <v>15</v>
      </c>
      <c r="G6" s="11" t="n">
        <v>0.03</v>
      </c>
      <c r="I6" s="23" t="n">
        <f aca="false">IF(Calc!$AA$3="OK",Calc!$AB$3,Calc!$AA$3)</f>
        <v>-0.109884043895377</v>
      </c>
      <c r="J6" s="23" t="n">
        <f aca="false">IF(Calc!$AA$4="OK",Calc!$AB$4,Calc!$AA$4)</f>
        <v>7.53238950982362</v>
      </c>
      <c r="K6" s="23" t="n">
        <f aca="false">IF(Calc!$AA$5="OK",Calc!$AB$5,Calc!$AA$5)</f>
        <v>-5.36076404389538</v>
      </c>
      <c r="M6" s="24" t="n">
        <f aca="false">IF(Calc!$AA$3="OK",Calc!$AD$3,Calc!$AA$3)</f>
        <v>14.8901159561046</v>
      </c>
      <c r="N6" s="24" t="n">
        <f aca="false">IF(Calc!$AA$4="OK",Calc!$AD$4,Calc!$AA$4)</f>
        <v>22.5323895098236</v>
      </c>
      <c r="O6" s="24" t="n">
        <f aca="false">IF(Calc!$AA$5="OK",Calc!$AD$5,Calc!$AA$5)</f>
        <v>9.63923595610462</v>
      </c>
    </row>
    <row r="7" customFormat="false" ht="15" hidden="false" customHeight="false" outlineLevel="0" collapsed="false">
      <c r="A7" s="21" t="s">
        <v>47</v>
      </c>
      <c r="B7" s="22" t="s">
        <v>48</v>
      </c>
      <c r="C7" s="9" t="n">
        <v>29.9</v>
      </c>
      <c r="D7" s="9" t="n">
        <v>4.99</v>
      </c>
      <c r="E7" s="9" t="n">
        <v>50</v>
      </c>
      <c r="F7" s="9" t="n">
        <v>15</v>
      </c>
      <c r="G7" s="11" t="n">
        <v>0.03</v>
      </c>
      <c r="I7" s="23" t="n">
        <f aca="false">IF(Calc!$AA$6="OK",Calc!$AB$6,Calc!$AA$6)</f>
        <v>0.123196534617023</v>
      </c>
      <c r="J7" s="23" t="n">
        <f aca="false">IF(Calc!$AA$7="OK",Calc!$AB$7,Calc!$AA$7)</f>
        <v>7.93187986795035</v>
      </c>
      <c r="K7" s="23" t="n">
        <f aca="false">IF(Calc!$AA$8="OK",Calc!$AB$8,Calc!$AA$8)</f>
        <v>-5.12768346538299</v>
      </c>
      <c r="M7" s="24" t="n">
        <f aca="false">IF(Calc!$AA$6="OK",Calc!$AD$6,Calc!$AA$6)</f>
        <v>15.123196534617</v>
      </c>
      <c r="N7" s="24" t="n">
        <f aca="false">IF(Calc!$AA$7="OK",Calc!$AD$7,Calc!$AA$7)</f>
        <v>22.9318798679504</v>
      </c>
      <c r="O7" s="24" t="n">
        <f aca="false">IF(Calc!$AA$8="OK",Calc!$AD$8,Calc!$AA$8)</f>
        <v>9.87231653461701</v>
      </c>
    </row>
    <row r="8" customFormat="false" ht="15" hidden="false" customHeight="false" outlineLevel="0" collapsed="false">
      <c r="A8" s="21" t="s">
        <v>49</v>
      </c>
      <c r="B8" s="22" t="s">
        <v>50</v>
      </c>
      <c r="C8" s="9" t="n">
        <v>29.9</v>
      </c>
      <c r="D8" s="9" t="n">
        <v>4.99</v>
      </c>
      <c r="E8" s="9" t="n">
        <v>50</v>
      </c>
      <c r="F8" s="9" t="n">
        <v>15</v>
      </c>
      <c r="G8" s="11" t="n">
        <v>0.03</v>
      </c>
      <c r="I8" s="23" t="n">
        <f aca="false">IF(Calc!$AA$9="OK",Calc!$AB$9,Calc!$AA$9)</f>
        <v>-1.24575612903226</v>
      </c>
      <c r="J8" s="23" t="n">
        <f aca="false">IF(Calc!$AA$10="OK",Calc!$AB$10,Calc!$AA$10)</f>
        <v>5.91339225806451</v>
      </c>
      <c r="K8" s="23" t="n">
        <f aca="false">IF(Calc!$AA$11="OK",Calc!$AB$11,Calc!$AA$11)</f>
        <v>-6.49663612903226</v>
      </c>
      <c r="M8" s="24" t="n">
        <f aca="false">IF(Calc!$AA$9="OK",Calc!$AD$9,Calc!$AA$9)</f>
        <v>13.7542438709677</v>
      </c>
      <c r="N8" s="24" t="n">
        <f aca="false">IF(Calc!$AA$10="OK",Calc!$AD$10,Calc!$AA$10)</f>
        <v>20.9133922580645</v>
      </c>
      <c r="O8" s="24" t="n">
        <f aca="false">IF(Calc!$AA$11="OK",Calc!$AD$11,Calc!$AA$11)</f>
        <v>8.50336387096774</v>
      </c>
    </row>
    <row r="9" customFormat="false" ht="15" hidden="false" customHeight="false" outlineLevel="0" collapsed="false">
      <c r="A9" s="21" t="s">
        <v>51</v>
      </c>
      <c r="B9" s="22" t="s">
        <v>50</v>
      </c>
      <c r="C9" s="9" t="n">
        <v>29.9</v>
      </c>
      <c r="D9" s="9" t="n">
        <v>4.99</v>
      </c>
      <c r="E9" s="9" t="n">
        <v>50</v>
      </c>
      <c r="F9" s="9" t="n">
        <v>15</v>
      </c>
      <c r="G9" s="11" t="n">
        <v>0.03</v>
      </c>
      <c r="I9" s="23" t="n">
        <f aca="false">IF(Calc!$AA$12="OK",Calc!$AB$12,Calc!$AA$12)</f>
        <v>-5.22899210084034</v>
      </c>
      <c r="J9" s="23" t="n">
        <f aca="false">IF(Calc!$AA$13="OK",Calc!$AB$13,Calc!$AA$13)</f>
        <v>2.74889781512605</v>
      </c>
      <c r="K9" s="23" t="n">
        <f aca="false">IF(Calc!$AA$14="OK",Calc!$AB$14,Calc!$AA$14)</f>
        <v>-10.4798721008403</v>
      </c>
      <c r="M9" s="24" t="n">
        <f aca="false">IF(Calc!$AA$12="OK",Calc!$AD$12,Calc!$AA$12)</f>
        <v>9.77100789915966</v>
      </c>
      <c r="N9" s="24" t="n">
        <f aca="false">IF(Calc!$AA$13="OK",Calc!$AD$13,Calc!$AA$13)</f>
        <v>17.7488978151261</v>
      </c>
      <c r="O9" s="24" t="n">
        <f aca="false">IF(Calc!$AA$14="OK",Calc!$AD$14,Calc!$AA$14)</f>
        <v>4.52012789915966</v>
      </c>
    </row>
    <row r="10" customFormat="false" ht="15" hidden="false" customHeight="false" outlineLevel="0" collapsed="false">
      <c r="A10" s="21" t="s">
        <v>52</v>
      </c>
      <c r="B10" s="22" t="s">
        <v>53</v>
      </c>
      <c r="C10" s="9" t="n">
        <v>29.9</v>
      </c>
      <c r="D10" s="9" t="n">
        <v>4.99</v>
      </c>
      <c r="E10" s="9" t="n">
        <v>50</v>
      </c>
      <c r="F10" s="9" t="n">
        <v>15</v>
      </c>
      <c r="G10" s="11" t="n">
        <v>0.03</v>
      </c>
      <c r="I10" s="23" t="n">
        <f aca="false">IF(Calc!$AA$15="OK",Calc!$AB$15,Calc!$AA$15)</f>
        <v>-2.99859728346457</v>
      </c>
      <c r="J10" s="23" t="n">
        <f aca="false">IF(Calc!$AA$16="OK",Calc!$AB$16,Calc!$AA$16)</f>
        <v>3.70025074803149</v>
      </c>
      <c r="K10" s="23" t="n">
        <f aca="false">IF(Calc!$AA$17="OK",Calc!$AB$17,Calc!$AA$17)</f>
        <v>-8.24947728346457</v>
      </c>
      <c r="M10" s="24" t="n">
        <f aca="false">IF(Calc!$AA$15="OK",Calc!$AD$15,Calc!$AA$15)</f>
        <v>12.0014027165354</v>
      </c>
      <c r="N10" s="24" t="n">
        <f aca="false">IF(Calc!$AA$16="OK",Calc!$AD$16,Calc!$AA$16)</f>
        <v>18.7002507480315</v>
      </c>
      <c r="O10" s="24" t="n">
        <f aca="false">IF(Calc!$AA$17="OK",Calc!$AD$17,Calc!$AA$17)</f>
        <v>6.75052271653543</v>
      </c>
    </row>
    <row r="11" customFormat="false" ht="15" hidden="false" customHeight="false" outlineLevel="0" collapsed="false">
      <c r="A11" s="21" t="s">
        <v>54</v>
      </c>
      <c r="B11" s="22" t="s">
        <v>55</v>
      </c>
      <c r="C11" s="9" t="n">
        <v>29.9</v>
      </c>
      <c r="D11" s="9" t="n">
        <v>4.99</v>
      </c>
      <c r="E11" s="9" t="n">
        <v>50</v>
      </c>
      <c r="F11" s="9" t="n">
        <v>15</v>
      </c>
      <c r="G11" s="11" t="n">
        <v>0.03</v>
      </c>
      <c r="I11" s="23" t="n">
        <f aca="false">IF(Calc!$AA$18="OK",Calc!$AB$18,Calc!$AA$18)</f>
        <v>-4.32956195121951</v>
      </c>
      <c r="J11" s="23" t="n">
        <f aca="false">IF(Calc!$AA$19="OK",Calc!$AB$19,Calc!$AA$19)</f>
        <v>2.98800959349592</v>
      </c>
      <c r="K11" s="23" t="n">
        <f aca="false">IF(Calc!$AA$20="OK",Calc!$AB$20,Calc!$AA$20)</f>
        <v>-9.58044195121951</v>
      </c>
      <c r="M11" s="24" t="n">
        <f aca="false">IF(Calc!$AA$18="OK",Calc!$AD$18,Calc!$AA$18)</f>
        <v>10.6704380487805</v>
      </c>
      <c r="N11" s="24" t="n">
        <f aca="false">IF(Calc!$AA$19="OK",Calc!$AD$19,Calc!$AA$19)</f>
        <v>17.9880095934959</v>
      </c>
      <c r="O11" s="24" t="n">
        <f aca="false">IF(Calc!$AA$20="OK",Calc!$AD$20,Calc!$AA$20)</f>
        <v>5.41955804878049</v>
      </c>
    </row>
    <row r="12" customFormat="false" ht="15" hidden="false" customHeight="false" outlineLevel="0" collapsed="false">
      <c r="A12" s="21" t="s">
        <v>56</v>
      </c>
      <c r="B12" s="22" t="s">
        <v>57</v>
      </c>
      <c r="C12" s="9" t="n">
        <v>29.9</v>
      </c>
      <c r="D12" s="9" t="n">
        <v>4.99</v>
      </c>
      <c r="E12" s="9" t="n">
        <v>50</v>
      </c>
      <c r="F12" s="9" t="n">
        <v>15</v>
      </c>
      <c r="G12" s="11" t="n">
        <v>0.03</v>
      </c>
      <c r="I12" s="23" t="n">
        <f aca="false">IF(Calc!$AA$21="OK",Calc!$AB$21,Calc!$AA$21)</f>
        <v>-2.78907057851239</v>
      </c>
      <c r="J12" s="23" t="n">
        <f aca="false">IF(Calc!$AA$22="OK",Calc!$AB$22,Calc!$AA$22)</f>
        <v>4.85320297520661</v>
      </c>
      <c r="K12" s="23" t="n">
        <f aca="false">IF(Calc!$AA$23="OK",Calc!$AB$23,Calc!$AA$23)</f>
        <v>-8.03995057851239</v>
      </c>
      <c r="M12" s="24" t="n">
        <f aca="false">IF(Calc!$AA$21="OK",Calc!$AD$21,Calc!$AA$21)</f>
        <v>12.2109294214876</v>
      </c>
      <c r="N12" s="24" t="n">
        <f aca="false">IF(Calc!$AA$22="OK",Calc!$AD$22,Calc!$AA$22)</f>
        <v>19.8532029752066</v>
      </c>
      <c r="O12" s="24" t="n">
        <f aca="false">IF(Calc!$AA$23="OK",Calc!$AD$23,Calc!$AA$23)</f>
        <v>6.96004942148761</v>
      </c>
    </row>
    <row r="13" customFormat="false" ht="15" hidden="false" customHeight="false" outlineLevel="0" collapsed="false">
      <c r="A13" s="21" t="s">
        <v>58</v>
      </c>
      <c r="B13" s="22" t="s">
        <v>59</v>
      </c>
      <c r="C13" s="9" t="n">
        <v>29.9</v>
      </c>
      <c r="D13" s="9" t="n">
        <v>4.99</v>
      </c>
      <c r="E13" s="9" t="n">
        <v>50</v>
      </c>
      <c r="F13" s="9" t="n">
        <v>15</v>
      </c>
      <c r="G13" s="11" t="n">
        <v>0.03</v>
      </c>
      <c r="I13" s="23" t="n">
        <f aca="false">IF(Calc!$AA$24="OK",Calc!$AB$24,Calc!$AA$24)</f>
        <v>-3.39611195121951</v>
      </c>
      <c r="J13" s="23" t="n">
        <f aca="false">IF(Calc!$AA$25="OK",Calc!$AB$25,Calc!$AA$25)</f>
        <v>3.92145959349593</v>
      </c>
      <c r="K13" s="23" t="n">
        <f aca="false">IF(Calc!$AA$26="OK",Calc!$AB$26,Calc!$AA$26)</f>
        <v>-8.64699195121951</v>
      </c>
      <c r="M13" s="24" t="n">
        <f aca="false">IF(Calc!$AA$24="OK",Calc!$AD$24,Calc!$AA$24)</f>
        <v>11.6038880487805</v>
      </c>
      <c r="N13" s="24" t="n">
        <f aca="false">IF(Calc!$AA$25="OK",Calc!$AD$25,Calc!$AA$25)</f>
        <v>18.9214595934959</v>
      </c>
      <c r="O13" s="24" t="n">
        <f aca="false">IF(Calc!$AA$26="OK",Calc!$AD$26,Calc!$AA$26)</f>
        <v>6.35300804878049</v>
      </c>
    </row>
    <row r="14" customFormat="false" ht="15" hidden="false" customHeight="false" outlineLevel="0" collapsed="false">
      <c r="A14" s="21" t="s">
        <v>60</v>
      </c>
      <c r="B14" s="22" t="s">
        <v>61</v>
      </c>
      <c r="C14" s="9" t="n">
        <v>29.9</v>
      </c>
      <c r="D14" s="9" t="n">
        <v>4.99</v>
      </c>
      <c r="E14" s="9" t="n">
        <v>50</v>
      </c>
      <c r="F14" s="9" t="n">
        <v>15</v>
      </c>
      <c r="G14" s="11" t="n">
        <v>0.03</v>
      </c>
      <c r="I14" s="23" t="n">
        <f aca="false">IF(Calc!$AA$27="OK",Calc!$AB$27,Calc!$AA$27)</f>
        <v>-3.6241</v>
      </c>
      <c r="J14" s="23" t="n">
        <f aca="false">IF(Calc!$AA$28="OK",Calc!$AB$28,Calc!$AA$28)</f>
        <v>3.37915999999999</v>
      </c>
      <c r="K14" s="23" t="n">
        <f aca="false">IF(Calc!$AA$29="OK",Calc!$AB$29,Calc!$AA$29)</f>
        <v>-8.87498</v>
      </c>
      <c r="M14" s="24" t="n">
        <f aca="false">IF(Calc!$AA$27="OK",Calc!$AD$27,Calc!$AA$27)</f>
        <v>11.3759</v>
      </c>
      <c r="N14" s="24" t="n">
        <f aca="false">IF(Calc!$AA$28="OK",Calc!$AD$28,Calc!$AA$28)</f>
        <v>18.37916</v>
      </c>
      <c r="O14" s="24" t="n">
        <f aca="false">IF(Calc!$AA$29="OK",Calc!$AD$29,Calc!$AA$29)</f>
        <v>6.12502</v>
      </c>
    </row>
    <row r="15" customFormat="false" ht="15" hidden="false" customHeight="false" outlineLevel="0" collapsed="false">
      <c r="A15" s="21" t="s">
        <v>62</v>
      </c>
      <c r="B15" s="22" t="s">
        <v>63</v>
      </c>
      <c r="C15" s="9" t="n">
        <v>29.9</v>
      </c>
      <c r="D15" s="9" t="n">
        <v>4.99</v>
      </c>
      <c r="E15" s="9" t="n">
        <v>50</v>
      </c>
      <c r="F15" s="9" t="n">
        <v>15</v>
      </c>
      <c r="G15" s="11" t="n">
        <v>0.03</v>
      </c>
      <c r="I15" s="23" t="n">
        <f aca="false">IF(Calc!$AA$30="OK",Calc!$AB$30,Calc!$AA$30)</f>
        <v>-2.77833016393442</v>
      </c>
      <c r="J15" s="23" t="n">
        <f aca="false">IF(Calc!$AA$31="OK",Calc!$AB$31,Calc!$AA$31)</f>
        <v>4.70026163934426</v>
      </c>
      <c r="K15" s="23" t="n">
        <f aca="false">IF(Calc!$AA$32="OK",Calc!$AB$32,Calc!$AA$32)</f>
        <v>-8.02921016393442</v>
      </c>
      <c r="M15" s="24" t="n">
        <f aca="false">IF(Calc!$AA$30="OK",Calc!$AD$30,Calc!$AA$30)</f>
        <v>12.2216698360656</v>
      </c>
      <c r="N15" s="24" t="n">
        <f aca="false">IF(Calc!$AA$31="OK",Calc!$AD$31,Calc!$AA$31)</f>
        <v>19.7002616393443</v>
      </c>
      <c r="O15" s="24" t="n">
        <f aca="false">IF(Calc!$AA$32="OK",Calc!$AD$32,Calc!$AA$32)</f>
        <v>6.97078983606559</v>
      </c>
    </row>
    <row r="16" customFormat="false" ht="15" hidden="false" customHeight="false" outlineLevel="0" collapsed="false">
      <c r="A16" s="21" t="s">
        <v>64</v>
      </c>
      <c r="B16" s="22" t="s">
        <v>65</v>
      </c>
      <c r="C16" s="9" t="n">
        <v>29.9</v>
      </c>
      <c r="D16" s="9" t="n">
        <v>4.99</v>
      </c>
      <c r="E16" s="9" t="n">
        <v>50</v>
      </c>
      <c r="F16" s="9" t="n">
        <v>15</v>
      </c>
      <c r="G16" s="11" t="n">
        <v>0.03</v>
      </c>
      <c r="I16" s="23" t="n">
        <f aca="false">IF(Calc!$AA$33="OK",Calc!$AB$33,Calc!$AA$33)</f>
        <v>-5.76483016393442</v>
      </c>
      <c r="J16" s="23" t="n">
        <f aca="false">IF(Calc!$AA$34="OK",Calc!$AB$34,Calc!$AA$34)</f>
        <v>1.71376163934426</v>
      </c>
      <c r="K16" s="23" t="n">
        <f aca="false">IF(Calc!$AA$35="OK",Calc!$AB$35,Calc!$AA$35)</f>
        <v>-11.0157101639344</v>
      </c>
      <c r="M16" s="24" t="n">
        <f aca="false">IF(Calc!$AA$33="OK",Calc!$AD$33,Calc!$AA$33)</f>
        <v>9.23516983606558</v>
      </c>
      <c r="N16" s="24" t="n">
        <f aca="false">IF(Calc!$AA$34="OK",Calc!$AD$34,Calc!$AA$34)</f>
        <v>16.7137616393443</v>
      </c>
      <c r="O16" s="24" t="n">
        <f aca="false">IF(Calc!$AA$35="OK",Calc!$AD$35,Calc!$AA$35)</f>
        <v>3.98428983606559</v>
      </c>
    </row>
    <row r="17" customFormat="false" ht="15" hidden="false" customHeight="false" outlineLevel="0" collapsed="false">
      <c r="A17" s="21" t="s">
        <v>66</v>
      </c>
      <c r="B17" s="22" t="s">
        <v>67</v>
      </c>
      <c r="C17" s="9" t="n">
        <v>29.9</v>
      </c>
      <c r="D17" s="9" t="n">
        <v>4.99</v>
      </c>
      <c r="E17" s="9" t="n">
        <v>50</v>
      </c>
      <c r="F17" s="9" t="n">
        <v>15</v>
      </c>
      <c r="G17" s="11" t="n">
        <v>0.03</v>
      </c>
      <c r="I17" s="23" t="n">
        <f aca="false">IF(Calc!$AA$36="OK",Calc!$AB$36,Calc!$AA$36)</f>
        <v>-4.95269</v>
      </c>
      <c r="J17" s="23" t="n">
        <f aca="false">IF(Calc!$AA$37="OK",Calc!$AB$37,Calc!$AA$37)</f>
        <v>2.85599333333334</v>
      </c>
      <c r="K17" s="23" t="n">
        <f aca="false">IF(Calc!$AA$38="OK",Calc!$AB$38,Calc!$AA$38)</f>
        <v>-10.20357</v>
      </c>
      <c r="M17" s="24" t="n">
        <f aca="false">IF(Calc!$AA$36="OK",Calc!$AD$36,Calc!$AA$36)</f>
        <v>10.04731</v>
      </c>
      <c r="N17" s="24" t="n">
        <f aca="false">IF(Calc!$AA$37="OK",Calc!$AD$37,Calc!$AA$37)</f>
        <v>17.8559933333333</v>
      </c>
      <c r="O17" s="24" t="n">
        <f aca="false">IF(Calc!$AA$38="OK",Calc!$AD$38,Calc!$AA$38)</f>
        <v>4.79643</v>
      </c>
    </row>
    <row r="18" customFormat="false" ht="15" hidden="false" customHeight="false" outlineLevel="0" collapsed="false">
      <c r="A18" s="21" t="s">
        <v>68</v>
      </c>
      <c r="B18" s="22" t="s">
        <v>69</v>
      </c>
      <c r="C18" s="9" t="n">
        <v>29.9</v>
      </c>
      <c r="D18" s="9" t="n">
        <v>4.99</v>
      </c>
      <c r="E18" s="9" t="n">
        <v>50</v>
      </c>
      <c r="F18" s="9" t="n">
        <v>15</v>
      </c>
      <c r="G18" s="11" t="n">
        <v>0.03</v>
      </c>
      <c r="I18" s="23" t="n">
        <f aca="false">IF(Calc!$AA$39="OK",Calc!$AB$39,Calc!$AA$39)</f>
        <v>-4.07456738200385</v>
      </c>
      <c r="J18" s="23" t="n">
        <f aca="false">IF(Calc!$AA$40="OK",Calc!$AB$40,Calc!$AA$40)</f>
        <v>2.98518675112087</v>
      </c>
      <c r="K18" s="23" t="n">
        <f aca="false">IF(Calc!$AA$41="OK",Calc!$AB$41,Calc!$AA$41)</f>
        <v>-10.2435831648455</v>
      </c>
      <c r="M18" s="24" t="n">
        <f aca="false">IF(Calc!$AA$39="OK",Calc!$AD$39,Calc!$AA$39)</f>
        <v>10.9254326179961</v>
      </c>
      <c r="N18" s="24" t="n">
        <f aca="false">IF(Calc!$AA$40="OK",Calc!$AD$40,Calc!$AA$40)</f>
        <v>17.9851867511209</v>
      </c>
      <c r="O18" s="24" t="n">
        <f aca="false">IF(Calc!$AA$41="OK",Calc!$AD$41,Calc!$AA$41)</f>
        <v>4.75641683515449</v>
      </c>
    </row>
    <row r="19" customFormat="false" ht="15" hidden="false" customHeight="false" outlineLevel="0" collapsed="false">
      <c r="A19" s="21" t="s">
        <v>70</v>
      </c>
      <c r="B19" s="22" t="s">
        <v>71</v>
      </c>
      <c r="C19" s="9" t="n">
        <v>29.9</v>
      </c>
      <c r="D19" s="9" t="n">
        <v>4.99</v>
      </c>
      <c r="E19" s="9" t="n">
        <v>50</v>
      </c>
      <c r="F19" s="9" t="n">
        <v>15</v>
      </c>
      <c r="G19" s="11" t="n">
        <v>0.03</v>
      </c>
      <c r="I19" s="23" t="n">
        <f aca="false">IF(Calc!$AA$42="OK",Calc!$AB$42,Calc!$AA$42)</f>
        <v>-6.1790705785124</v>
      </c>
      <c r="J19" s="23" t="n">
        <f aca="false">IF(Calc!$AA$43="OK",Calc!$AB$43,Calc!$AA$43)</f>
        <v>1.46320297520661</v>
      </c>
      <c r="K19" s="23" t="n">
        <f aca="false">IF(Calc!$AA$44="OK",Calc!$AB$44,Calc!$AA$44)</f>
        <v>-11.4299505785124</v>
      </c>
      <c r="M19" s="24" t="n">
        <f aca="false">IF(Calc!$AA$42="OK",Calc!$AD$42,Calc!$AA$42)</f>
        <v>8.8209294214876</v>
      </c>
      <c r="N19" s="24" t="n">
        <f aca="false">IF(Calc!$AA$43="OK",Calc!$AD$43,Calc!$AA$43)</f>
        <v>16.4632029752066</v>
      </c>
      <c r="O19" s="24" t="n">
        <f aca="false">IF(Calc!$AA$44="OK",Calc!$AD$44,Calc!$AA$44)</f>
        <v>3.57004942148761</v>
      </c>
    </row>
    <row r="20" customFormat="false" ht="15" hidden="false" customHeight="false" outlineLevel="0" collapsed="false">
      <c r="A20" s="21" t="s">
        <v>72</v>
      </c>
      <c r="B20" s="22" t="s">
        <v>71</v>
      </c>
      <c r="C20" s="9" t="n">
        <v>29.9</v>
      </c>
      <c r="D20" s="9" t="n">
        <v>4.99</v>
      </c>
      <c r="E20" s="9" t="n">
        <v>50</v>
      </c>
      <c r="F20" s="9" t="n">
        <v>15</v>
      </c>
      <c r="G20" s="11" t="n">
        <v>0.03</v>
      </c>
      <c r="I20" s="23" t="n">
        <f aca="false">IF(Calc!$AA$45="OK",Calc!$AB$45,Calc!$AA$45)</f>
        <v>-6.62907057851239</v>
      </c>
      <c r="J20" s="23" t="n">
        <f aca="false">IF(Calc!$AA$46="OK",Calc!$AB$46,Calc!$AA$46)</f>
        <v>1.0132029752066</v>
      </c>
      <c r="K20" s="23" t="n">
        <f aca="false">IF(Calc!$AA$47="OK",Calc!$AB$47,Calc!$AA$47)</f>
        <v>-11.8799505785124</v>
      </c>
      <c r="M20" s="24" t="n">
        <f aca="false">IF(Calc!$AA$45="OK",Calc!$AD$45,Calc!$AA$45)</f>
        <v>8.37092942148761</v>
      </c>
      <c r="N20" s="24" t="n">
        <f aca="false">IF(Calc!$AA$46="OK",Calc!$AD$46,Calc!$AA$46)</f>
        <v>16.0132029752066</v>
      </c>
      <c r="O20" s="24" t="n">
        <f aca="false">IF(Calc!$AA$47="OK",Calc!$AD$47,Calc!$AA$47)</f>
        <v>3.12004942148761</v>
      </c>
    </row>
    <row r="21" customFormat="false" ht="15" hidden="false" customHeight="false" outlineLevel="0" collapsed="false">
      <c r="A21" s="21" t="s">
        <v>73</v>
      </c>
      <c r="B21" s="22" t="s">
        <v>71</v>
      </c>
      <c r="C21" s="9" t="n">
        <v>29.9</v>
      </c>
      <c r="D21" s="9" t="n">
        <v>4.99</v>
      </c>
      <c r="E21" s="9" t="n">
        <v>50</v>
      </c>
      <c r="F21" s="9" t="n">
        <v>15</v>
      </c>
      <c r="G21" s="11" t="n">
        <v>0.03</v>
      </c>
      <c r="I21" s="23" t="n">
        <f aca="false">IF(Calc!$AA$48="OK",Calc!$AB$48,Calc!$AA$48)</f>
        <v>-9.40575612903226</v>
      </c>
      <c r="J21" s="23" t="n">
        <f aca="false">IF(Calc!$AA$49="OK",Calc!$AB$49,Calc!$AA$49)</f>
        <v>-2.24660774193548</v>
      </c>
      <c r="K21" s="23" t="n">
        <f aca="false">IF(Calc!$AA$50="OK",Calc!$AB$50,Calc!$AA$50)</f>
        <v>-14.6566361290323</v>
      </c>
      <c r="M21" s="24" t="n">
        <f aca="false">IF(Calc!$AA$48="OK",Calc!$AD$48,Calc!$AA$48)</f>
        <v>5.59424387096774</v>
      </c>
      <c r="N21" s="24" t="n">
        <f aca="false">IF(Calc!$AA$49="OK",Calc!$AD$49,Calc!$AA$49)</f>
        <v>12.7533922580645</v>
      </c>
      <c r="O21" s="24" t="n">
        <f aca="false">IF(Calc!$AA$50="OK",Calc!$AD$50,Calc!$AA$50)</f>
        <v>0.343363870967739</v>
      </c>
    </row>
    <row r="22" customFormat="false" ht="15" hidden="false" customHeight="false" outlineLevel="0" collapsed="false">
      <c r="A22" s="21" t="s">
        <v>74</v>
      </c>
      <c r="B22" s="22" t="s">
        <v>75</v>
      </c>
      <c r="C22" s="9" t="n">
        <v>29.9</v>
      </c>
      <c r="D22" s="9" t="n">
        <v>4.99</v>
      </c>
      <c r="E22" s="9" t="n">
        <v>50</v>
      </c>
      <c r="F22" s="9" t="n">
        <v>15</v>
      </c>
      <c r="G22" s="11" t="n">
        <v>0.03</v>
      </c>
      <c r="I22" s="23" t="n">
        <f aca="false">IF(Calc!$AA$51="OK",Calc!$AB$51,Calc!$AA$51)</f>
        <v>-6.4640705785124</v>
      </c>
      <c r="J22" s="23" t="n">
        <f aca="false">IF(Calc!$AA$52="OK",Calc!$AB$52,Calc!$AA$52)</f>
        <v>0.533202975206613</v>
      </c>
      <c r="K22" s="23" t="n">
        <f aca="false">IF(Calc!$AA$53="OK",Calc!$AB$53,Calc!$AA$53)</f>
        <v>-12.3599505785124</v>
      </c>
      <c r="M22" s="24" t="n">
        <f aca="false">IF(Calc!$AA$51="OK",Calc!$AD$51,Calc!$AA$51)</f>
        <v>8.53592942148761</v>
      </c>
      <c r="N22" s="24" t="n">
        <f aca="false">IF(Calc!$AA$52="OK",Calc!$AD$52,Calc!$AA$52)</f>
        <v>15.5332029752066</v>
      </c>
      <c r="O22" s="24" t="n">
        <f aca="false">IF(Calc!$AA$53="OK",Calc!$AD$53,Calc!$AA$53)</f>
        <v>2.64004942148761</v>
      </c>
    </row>
    <row r="23" customFormat="false" ht="15" hidden="false" customHeight="false" outlineLevel="0" collapsed="false">
      <c r="A23" s="21" t="s">
        <v>76</v>
      </c>
      <c r="B23" s="22" t="s">
        <v>77</v>
      </c>
      <c r="C23" s="9" t="n">
        <v>29.9</v>
      </c>
      <c r="D23" s="9" t="n">
        <v>4.99</v>
      </c>
      <c r="E23" s="9" t="n">
        <v>50</v>
      </c>
      <c r="F23" s="9" t="n">
        <v>15</v>
      </c>
      <c r="G23" s="11" t="n">
        <v>0.03</v>
      </c>
      <c r="I23" s="23" t="n">
        <f aca="false">IF(Calc!$AA$54="OK",Calc!$AB$54,Calc!$AA$54)</f>
        <v>-6.8341</v>
      </c>
      <c r="J23" s="23" t="n">
        <f aca="false">IF(Calc!$AA$55="OK",Calc!$AB$55,Calc!$AA$55)</f>
        <v>-1.22584000000001</v>
      </c>
      <c r="K23" s="23" t="n">
        <f aca="false">IF(Calc!$AA$56="OK",Calc!$AB$56,Calc!$AA$56)</f>
        <v>-13.47998</v>
      </c>
      <c r="M23" s="24" t="n">
        <f aca="false">IF(Calc!$AA$54="OK",Calc!$AD$54,Calc!$AA$54)</f>
        <v>8.1659</v>
      </c>
      <c r="N23" s="24" t="n">
        <f aca="false">IF(Calc!$AA$55="OK",Calc!$AD$55,Calc!$AA$55)</f>
        <v>13.77416</v>
      </c>
      <c r="O23" s="24" t="n">
        <f aca="false">IF(Calc!$AA$56="OK",Calc!$AD$56,Calc!$AA$56)</f>
        <v>1.52002</v>
      </c>
    </row>
    <row r="24" customFormat="false" ht="15" hidden="false" customHeight="false" outlineLevel="0" collapsed="false">
      <c r="A24" s="21" t="s">
        <v>78</v>
      </c>
      <c r="B24" s="22" t="s">
        <v>75</v>
      </c>
      <c r="C24" s="9" t="n">
        <v>29.9</v>
      </c>
      <c r="D24" s="9" t="n">
        <v>4.99</v>
      </c>
      <c r="E24" s="9" t="n">
        <v>50</v>
      </c>
      <c r="F24" s="9" t="n">
        <v>15</v>
      </c>
      <c r="G24" s="11" t="n">
        <v>0.03</v>
      </c>
      <c r="I24" s="23" t="n">
        <f aca="false">IF(Calc!$AA$57="OK",Calc!$AB$57,Calc!$AA$57)</f>
        <v>-6.1340705785124</v>
      </c>
      <c r="J24" s="23" t="n">
        <f aca="false">IF(Calc!$AA$58="OK",Calc!$AB$58,Calc!$AA$58)</f>
        <v>0.863202975206612</v>
      </c>
      <c r="K24" s="23" t="n">
        <f aca="false">IF(Calc!$AA$59="OK",Calc!$AB$59,Calc!$AA$59)</f>
        <v>-12.0299505785124</v>
      </c>
      <c r="M24" s="24" t="n">
        <f aca="false">IF(Calc!$AA$57="OK",Calc!$AD$57,Calc!$AA$57)</f>
        <v>8.8659294214876</v>
      </c>
      <c r="N24" s="24" t="n">
        <f aca="false">IF(Calc!$AA$58="OK",Calc!$AD$58,Calc!$AA$58)</f>
        <v>15.8632029752066</v>
      </c>
      <c r="O24" s="24" t="n">
        <f aca="false">IF(Calc!$AA$59="OK",Calc!$AD$59,Calc!$AA$59)</f>
        <v>2.97004942148761</v>
      </c>
    </row>
    <row r="25" customFormat="false" ht="15" hidden="false" customHeight="false" outlineLevel="0" collapsed="false">
      <c r="A25" s="21" t="s">
        <v>79</v>
      </c>
      <c r="B25" s="22" t="s">
        <v>75</v>
      </c>
      <c r="C25" s="9" t="n">
        <v>29.9</v>
      </c>
      <c r="D25" s="9" t="n">
        <v>4.99</v>
      </c>
      <c r="E25" s="9" t="n">
        <v>50</v>
      </c>
      <c r="F25" s="9" t="n">
        <v>15</v>
      </c>
      <c r="G25" s="11" t="n">
        <v>0.03</v>
      </c>
      <c r="I25" s="23" t="n">
        <f aca="false">IF(Calc!$AA$60="OK",Calc!$AB$60,Calc!$AA$60)</f>
        <v>-2.61284256410256</v>
      </c>
      <c r="J25" s="23" t="n">
        <f aca="false">IF(Calc!$AA$61="OK",Calc!$AB$61,Calc!$AA$61)</f>
        <v>4.13713777777778</v>
      </c>
      <c r="K25" s="23" t="n">
        <f aca="false">IF(Calc!$AA$62="OK",Calc!$AB$62,Calc!$AA$62)</f>
        <v>-9.43872256410256</v>
      </c>
      <c r="M25" s="24" t="n">
        <f aca="false">IF(Calc!$AA$60="OK",Calc!$AD$60,Calc!$AA$60)</f>
        <v>12.3871574358974</v>
      </c>
      <c r="N25" s="24" t="n">
        <f aca="false">IF(Calc!$AA$61="OK",Calc!$AD$61,Calc!$AA$61)</f>
        <v>19.1371377777778</v>
      </c>
      <c r="O25" s="24" t="n">
        <f aca="false">IF(Calc!$AA$62="OK",Calc!$AD$62,Calc!$AA$62)</f>
        <v>5.56127743589744</v>
      </c>
    </row>
    <row r="26" customFormat="false" ht="15" hidden="false" customHeight="false" outlineLevel="0" collapsed="false">
      <c r="A26" s="21" t="s">
        <v>80</v>
      </c>
      <c r="B26" s="22" t="s">
        <v>77</v>
      </c>
      <c r="C26" s="9" t="n">
        <v>29.9</v>
      </c>
      <c r="D26" s="9" t="n">
        <v>4.99</v>
      </c>
      <c r="E26" s="9" t="n">
        <v>50</v>
      </c>
      <c r="F26" s="9" t="n">
        <v>15</v>
      </c>
      <c r="G26" s="11" t="n">
        <v>0.03</v>
      </c>
      <c r="I26" s="23" t="n">
        <f aca="false">IF(Calc!$AA$63="OK",Calc!$AB$63,Calc!$AA$63)</f>
        <v>-6.0841</v>
      </c>
      <c r="J26" s="23" t="n">
        <f aca="false">IF(Calc!$AA$64="OK",Calc!$AB$64,Calc!$AA$64)</f>
        <v>-1.73584</v>
      </c>
      <c r="K26" s="23" t="n">
        <f aca="false">IF(Calc!$AA$65="OK",Calc!$AB$65,Calc!$AA$65)</f>
        <v>-13.98998</v>
      </c>
      <c r="M26" s="24" t="n">
        <f aca="false">IF(Calc!$AA$63="OK",Calc!$AD$63,Calc!$AA$63)</f>
        <v>8.9159</v>
      </c>
      <c r="N26" s="24" t="n">
        <f aca="false">IF(Calc!$AA$64="OK",Calc!$AD$64,Calc!$AA$64)</f>
        <v>13.26416</v>
      </c>
      <c r="O26" s="24" t="n">
        <f aca="false">IF(Calc!$AA$65="OK",Calc!$AD$65,Calc!$AA$65)</f>
        <v>1.01002</v>
      </c>
    </row>
    <row r="27" customFormat="false" ht="15" hidden="false" customHeight="false" outlineLevel="0" collapsed="false">
      <c r="A27" s="21" t="s">
        <v>81</v>
      </c>
      <c r="B27" s="22" t="s">
        <v>82</v>
      </c>
      <c r="C27" s="9" t="n">
        <v>29.9</v>
      </c>
      <c r="D27" s="9" t="n">
        <v>4.99</v>
      </c>
      <c r="E27" s="9" t="n">
        <v>50</v>
      </c>
      <c r="F27" s="9" t="n">
        <v>15</v>
      </c>
      <c r="G27" s="11" t="n">
        <v>0.03</v>
      </c>
      <c r="I27" s="23" t="n">
        <f aca="false">IF(Calc!$AA$66="OK",Calc!$AB$66,Calc!$AA$66)</f>
        <v>-13.8419670916335</v>
      </c>
      <c r="J27" s="23" t="n">
        <f aca="false">IF(Calc!$AA$67="OK",Calc!$AB$67,Calc!$AA$67)</f>
        <v>-7.5457196812749</v>
      </c>
      <c r="K27" s="23" t="n">
        <f aca="false">IF(Calc!$AA$68="OK",Calc!$AB$68,Calc!$AA$68)</f>
        <v>-19.7228470916335</v>
      </c>
      <c r="M27" s="24" t="n">
        <f aca="false">IF(Calc!$AA$66="OK",Calc!$AD$66,Calc!$AA$66)</f>
        <v>1.15803290836654</v>
      </c>
      <c r="N27" s="24" t="n">
        <f aca="false">IF(Calc!$AA$67="OK",Calc!$AD$67,Calc!$AA$67)</f>
        <v>7.4542803187251</v>
      </c>
      <c r="O27" s="24" t="n">
        <f aca="false">IF(Calc!$AA$68="OK",Calc!$AD$68,Calc!$AA$68)</f>
        <v>-4.72284709163346</v>
      </c>
    </row>
    <row r="28" customFormat="false" ht="15" hidden="false" customHeight="false" outlineLevel="0" collapsed="false">
      <c r="A28" s="21" t="s">
        <v>83</v>
      </c>
      <c r="B28" s="22" t="s">
        <v>84</v>
      </c>
      <c r="C28" s="9" t="n">
        <v>29.9</v>
      </c>
      <c r="D28" s="9" t="n">
        <v>4.99</v>
      </c>
      <c r="E28" s="9" t="n">
        <v>50</v>
      </c>
      <c r="F28" s="9" t="n">
        <v>15</v>
      </c>
      <c r="G28" s="11" t="n">
        <v>0.03</v>
      </c>
      <c r="I28" s="23" t="n">
        <f aca="false">IF(Calc!$AA$69="OK",Calc!$AB$69,Calc!$AA$69)</f>
        <v>-6.17099</v>
      </c>
      <c r="J28" s="23" t="n">
        <f aca="false">IF(Calc!$AA$70="OK",Calc!$AB$70,Calc!$AA$70)</f>
        <v>0.137693333333338</v>
      </c>
      <c r="K28" s="23" t="n">
        <f aca="false">IF(Calc!$AA$71="OK",Calc!$AB$71,Calc!$AA$71)</f>
        <v>-12.92187</v>
      </c>
      <c r="M28" s="24" t="n">
        <f aca="false">IF(Calc!$AA$69="OK",Calc!$AD$69,Calc!$AA$69)</f>
        <v>8.82901</v>
      </c>
      <c r="N28" s="24" t="n">
        <f aca="false">IF(Calc!$AA$70="OK",Calc!$AD$70,Calc!$AA$70)</f>
        <v>15.1376933333333</v>
      </c>
      <c r="O28" s="24" t="n">
        <f aca="false">IF(Calc!$AA$71="OK",Calc!$AD$71,Calc!$AA$71)</f>
        <v>2.07813</v>
      </c>
    </row>
    <row r="29" customFormat="false" ht="15" hidden="false" customHeight="false" outlineLevel="0" collapsed="false">
      <c r="A29" s="21" t="s">
        <v>85</v>
      </c>
      <c r="B29" s="22" t="s">
        <v>86</v>
      </c>
      <c r="C29" s="9" t="n">
        <v>29.9</v>
      </c>
      <c r="D29" s="9" t="n">
        <v>4.99</v>
      </c>
      <c r="E29" s="9" t="n">
        <v>50</v>
      </c>
      <c r="F29" s="9" t="n">
        <v>15</v>
      </c>
      <c r="G29" s="11" t="n">
        <v>0.03</v>
      </c>
      <c r="I29" s="23" t="n">
        <f aca="false">IF(Calc!$AA$72="OK",Calc!$AB$72,Calc!$AA$72)</f>
        <v>-7.53797728813559</v>
      </c>
      <c r="J29" s="23" t="n">
        <f aca="false">IF(Calc!$AA$73="OK",Calc!$AB$73,Calc!$AA$73)</f>
        <v>-4.48801288135594</v>
      </c>
      <c r="K29" s="23" t="n">
        <f aca="false">IF(Calc!$AA$74="OK",Calc!$AB$74,Calc!$AA$74)</f>
        <v>-17.8888572881356</v>
      </c>
      <c r="M29" s="24" t="n">
        <f aca="false">IF(Calc!$AA$72="OK",Calc!$AD$72,Calc!$AA$72)</f>
        <v>7.46202271186441</v>
      </c>
      <c r="N29" s="24" t="n">
        <f aca="false">IF(Calc!$AA$73="OK",Calc!$AD$73,Calc!$AA$73)</f>
        <v>10.5119871186441</v>
      </c>
      <c r="O29" s="24" t="n">
        <f aca="false">IF(Calc!$AA$74="OK",Calc!$AD$74,Calc!$AA$74)</f>
        <v>-2.88885728813559</v>
      </c>
    </row>
    <row r="30" customFormat="false" ht="15" hidden="false" customHeight="false" outlineLevel="0" collapsed="false">
      <c r="A30" s="21" t="s">
        <v>87</v>
      </c>
      <c r="B30" s="22" t="s">
        <v>88</v>
      </c>
      <c r="C30" s="9" t="n">
        <v>29.9</v>
      </c>
      <c r="D30" s="9" t="n">
        <v>4.99</v>
      </c>
      <c r="E30" s="9" t="n">
        <v>50</v>
      </c>
      <c r="F30" s="9" t="n">
        <v>15</v>
      </c>
      <c r="G30" s="11" t="n">
        <v>0.03</v>
      </c>
      <c r="I30" s="23" t="n">
        <f aca="false">IF(Calc!$AA$75="OK",Calc!$AB$75,Calc!$AA$75)</f>
        <v>-5.6690705785124</v>
      </c>
      <c r="J30" s="23" t="n">
        <f aca="false">IF(Calc!$AA$76="OK",Calc!$AB$76,Calc!$AA$76)</f>
        <v>0.218202975206609</v>
      </c>
      <c r="K30" s="23" t="n">
        <f aca="false">IF(Calc!$AA$77="OK",Calc!$AB$77,Calc!$AA$77)</f>
        <v>-12.6749505785124</v>
      </c>
      <c r="M30" s="24" t="n">
        <f aca="false">IF(Calc!$AA$75="OK",Calc!$AD$75,Calc!$AA$75)</f>
        <v>9.3309294214876</v>
      </c>
      <c r="N30" s="24" t="n">
        <f aca="false">IF(Calc!$AA$76="OK",Calc!$AD$76,Calc!$AA$76)</f>
        <v>15.2182029752066</v>
      </c>
      <c r="O30" s="24" t="n">
        <f aca="false">IF(Calc!$AA$77="OK",Calc!$AD$77,Calc!$AA$77)</f>
        <v>2.32504942148761</v>
      </c>
    </row>
    <row r="31" customFormat="false" ht="15" hidden="false" customHeight="false" outlineLevel="0" collapsed="false">
      <c r="A31" s="21" t="s">
        <v>89</v>
      </c>
      <c r="B31" s="22" t="s">
        <v>88</v>
      </c>
      <c r="C31" s="9" t="n">
        <v>29.9</v>
      </c>
      <c r="D31" s="9" t="n">
        <v>4.99</v>
      </c>
      <c r="E31" s="9" t="n">
        <v>50</v>
      </c>
      <c r="F31" s="9" t="n">
        <v>15</v>
      </c>
      <c r="G31" s="11" t="n">
        <v>0.03</v>
      </c>
      <c r="I31" s="23" t="n">
        <f aca="false">IF(Calc!$AA$78="OK",Calc!$AB$78,Calc!$AA$78)</f>
        <v>-6.69386195121951</v>
      </c>
      <c r="J31" s="23" t="n">
        <f aca="false">IF(Calc!$AA$79="OK",Calc!$AB$79,Calc!$AA$79)</f>
        <v>-1.13129040650407</v>
      </c>
      <c r="K31" s="23" t="n">
        <f aca="false">IF(Calc!$AA$80="OK",Calc!$AB$80,Calc!$AA$80)</f>
        <v>-13.6997419512195</v>
      </c>
      <c r="M31" s="24" t="n">
        <f aca="false">IF(Calc!$AA$78="OK",Calc!$AD$78,Calc!$AA$78)</f>
        <v>8.30613804878049</v>
      </c>
      <c r="N31" s="24" t="n">
        <f aca="false">IF(Calc!$AA$79="OK",Calc!$AD$79,Calc!$AA$79)</f>
        <v>13.8687095934959</v>
      </c>
      <c r="O31" s="24" t="n">
        <f aca="false">IF(Calc!$AA$80="OK",Calc!$AD$80,Calc!$AA$80)</f>
        <v>1.30025804878049</v>
      </c>
    </row>
    <row r="32" customFormat="false" ht="15" hidden="false" customHeight="false" outlineLevel="0" collapsed="false">
      <c r="A32" s="21" t="s">
        <v>90</v>
      </c>
      <c r="B32" s="22" t="s">
        <v>91</v>
      </c>
      <c r="C32" s="9" t="n">
        <v>29.9</v>
      </c>
      <c r="D32" s="9" t="n">
        <v>4.99</v>
      </c>
      <c r="E32" s="9" t="n">
        <v>50</v>
      </c>
      <c r="F32" s="9" t="n">
        <v>15</v>
      </c>
      <c r="G32" s="11" t="n">
        <v>0.03</v>
      </c>
      <c r="I32" s="23" t="n">
        <f aca="false">IF(Calc!$AA$81="OK",Calc!$AB$81,Calc!$AA$81)</f>
        <v>-5.59886195121951</v>
      </c>
      <c r="J32" s="23" t="n">
        <f aca="false">IF(Calc!$AA$82="OK",Calc!$AB$82,Calc!$AA$82)</f>
        <v>0.173709593495936</v>
      </c>
      <c r="K32" s="23" t="n">
        <f aca="false">IF(Calc!$AA$83="OK",Calc!$AB$83,Calc!$AA$83)</f>
        <v>-12.3947419512195</v>
      </c>
      <c r="M32" s="24" t="n">
        <f aca="false">IF(Calc!$AA$81="OK",Calc!$AD$81,Calc!$AA$81)</f>
        <v>9.40113804878049</v>
      </c>
      <c r="N32" s="24" t="n">
        <f aca="false">IF(Calc!$AA$82="OK",Calc!$AD$82,Calc!$AA$82)</f>
        <v>15.1737095934959</v>
      </c>
      <c r="O32" s="24" t="n">
        <f aca="false">IF(Calc!$AA$83="OK",Calc!$AD$83,Calc!$AA$83)</f>
        <v>2.60525804878049</v>
      </c>
    </row>
    <row r="34" customFormat="false" ht="15" hidden="false" customHeight="false" outlineLevel="0" collapsed="false">
      <c r="A34" s="19" t="s">
        <v>92</v>
      </c>
    </row>
    <row r="35" customFormat="false" ht="15" hidden="false" customHeight="false" outlineLevel="0" collapsed="false">
      <c r="A35" s="19" t="s">
        <v>93</v>
      </c>
    </row>
    <row r="36" customFormat="false" ht="15" hidden="false" customHeight="false" outlineLevel="0" collapsed="false">
      <c r="A36" s="19" t="s">
        <v>94</v>
      </c>
    </row>
  </sheetData>
  <mergeCells count="3">
    <mergeCell ref="A4:G4"/>
    <mergeCell ref="I4:K4"/>
    <mergeCell ref="M4:O4"/>
  </mergeCells>
  <conditionalFormatting sqref="I6:K32">
    <cfRule type="expression" priority="2" aboveAverage="0" equalAverage="0" bottom="0" percent="0" rank="0" text="" dxfId="0">
      <formula>AND(ISNUMBER(I6),I6&lt;0)</formula>
    </cfRule>
    <cfRule type="expression" priority="3" aboveAverage="0" equalAverage="0" bottom="0" percent="0" rank="0" text="" dxfId="1">
      <formula>AND(ISNUMBER(I6),I6&gt;0)</formula>
    </cfRule>
    <cfRule type="expression" priority="4" aboveAverage="0" equalAverage="0" bottom="0" percent="0" rank="0" text="" dxfId="2">
      <formula>AND(I6&lt;&gt;"",NOT(ISNUMBER(I6)))</formula>
    </cfRule>
  </conditionalFormatting>
  <conditionalFormatting sqref="M6:O32">
    <cfRule type="expression" priority="5" aboveAverage="0" equalAverage="0" bottom="0" percent="0" rank="0" text="" dxfId="0">
      <formula>AND(ISNUMBER(M6),M6&lt;0)</formula>
    </cfRule>
    <cfRule type="expression" priority="6" aboveAverage="0" equalAverage="0" bottom="0" percent="0" rank="0" text="" dxfId="1">
      <formula>AND(ISNUMBER(M6),M6&gt;0)</formula>
    </cfRule>
    <cfRule type="expression" priority="7" aboveAverage="0" equalAverage="0" bottom="0" percent="0" rank="0" text="" dxfId="2">
      <formula>AND(M6&lt;&gt;"",NOT(ISNUMBER(M6)))</formula>
    </cfRule>
  </conditionalFormatting>
  <dataValidations count="27">
    <dataValidation allowBlank="false" errorStyle="stop" operator="between" showDropDown="false" showErrorMessage="false" showInputMessage="false" sqref="B6" type="list">
      <formula1>OFFSET('Shipping Rates'!$B$4,MATCH($A$6,Dest_Country,0)-1,0,COUNTIF(Dest_Country,$A$6),1)</formula1>
      <formula2>0</formula2>
    </dataValidation>
    <dataValidation allowBlank="false" errorStyle="stop" operator="between" showDropDown="false" showErrorMessage="false" showInputMessage="false" sqref="B7" type="list">
      <formula1>OFFSET('Shipping Rates'!$B$4,MATCH($A$7,Dest_Country,0)-1,0,COUNTIF(Dest_Country,$A$7),1)</formula1>
      <formula2>0</formula2>
    </dataValidation>
    <dataValidation allowBlank="false" errorStyle="stop" operator="between" showDropDown="false" showErrorMessage="false" showInputMessage="false" sqref="B8" type="list">
      <formula1>OFFSET('Shipping Rates'!$B$4,MATCH($A$8,Dest_Country,0)-1,0,COUNTIF(Dest_Country,$A$8),1)</formula1>
      <formula2>0</formula2>
    </dataValidation>
    <dataValidation allowBlank="false" errorStyle="stop" operator="between" showDropDown="false" showErrorMessage="false" showInputMessage="false" sqref="B9" type="list">
      <formula1>OFFSET('Shipping Rates'!$B$4,MATCH($A$9,Dest_Country,0)-1,0,COUNTIF(Dest_Country,$A$9),1)</formula1>
      <formula2>0</formula2>
    </dataValidation>
    <dataValidation allowBlank="false" errorStyle="stop" operator="between" showDropDown="false" showErrorMessage="false" showInputMessage="false" sqref="B10" type="list">
      <formula1>OFFSET('Shipping Rates'!$B$4,MATCH($A$10,Dest_Country,0)-1,0,COUNTIF(Dest_Country,$A$10),1)</formula1>
      <formula2>0</formula2>
    </dataValidation>
    <dataValidation allowBlank="false" errorStyle="stop" operator="between" showDropDown="false" showErrorMessage="false" showInputMessage="false" sqref="B11" type="list">
      <formula1>OFFSET('Shipping Rates'!$B$4,MATCH($A$11,Dest_Country,0)-1,0,COUNTIF(Dest_Country,$A$11),1)</formula1>
      <formula2>0</formula2>
    </dataValidation>
    <dataValidation allowBlank="false" errorStyle="stop" operator="between" showDropDown="false" showErrorMessage="false" showInputMessage="false" sqref="B12" type="list">
      <formula1>OFFSET('Shipping Rates'!$B$4,MATCH($A$12,Dest_Country,0)-1,0,COUNTIF(Dest_Country,$A$12),1)</formula1>
      <formula2>0</formula2>
    </dataValidation>
    <dataValidation allowBlank="false" errorStyle="stop" operator="between" showDropDown="false" showErrorMessage="false" showInputMessage="false" sqref="B13" type="list">
      <formula1>OFFSET('Shipping Rates'!$B$4,MATCH($A$13,Dest_Country,0)-1,0,COUNTIF(Dest_Country,$A$13),1)</formula1>
      <formula2>0</formula2>
    </dataValidation>
    <dataValidation allowBlank="false" errorStyle="stop" operator="between" showDropDown="false" showErrorMessage="false" showInputMessage="false" sqref="B14" type="list">
      <formula1>OFFSET('Shipping Rates'!$B$4,MATCH($A$14,Dest_Country,0)-1,0,COUNTIF(Dest_Country,$A$14),1)</formula1>
      <formula2>0</formula2>
    </dataValidation>
    <dataValidation allowBlank="false" errorStyle="stop" operator="between" showDropDown="false" showErrorMessage="false" showInputMessage="false" sqref="B15" type="list">
      <formula1>OFFSET('Shipping Rates'!$B$4,MATCH($A$15,Dest_Country,0)-1,0,COUNTIF(Dest_Country,$A$15),1)</formula1>
      <formula2>0</formula2>
    </dataValidation>
    <dataValidation allowBlank="false" errorStyle="stop" operator="between" showDropDown="false" showErrorMessage="false" showInputMessage="false" sqref="B16" type="list">
      <formula1>OFFSET('Shipping Rates'!$B$4,MATCH($A$16,Dest_Country,0)-1,0,COUNTIF(Dest_Country,$A$16),1)</formula1>
      <formula2>0</formula2>
    </dataValidation>
    <dataValidation allowBlank="false" errorStyle="stop" operator="between" showDropDown="false" showErrorMessage="false" showInputMessage="false" sqref="B17" type="list">
      <formula1>OFFSET('Shipping Rates'!$B$4,MATCH($A$17,Dest_Country,0)-1,0,COUNTIF(Dest_Country,$A$17),1)</formula1>
      <formula2>0</formula2>
    </dataValidation>
    <dataValidation allowBlank="false" errorStyle="stop" operator="between" showDropDown="false" showErrorMessage="false" showInputMessage="false" sqref="B18" type="list">
      <formula1>OFFSET('Shipping Rates'!$B$4,MATCH($A$18,Dest_Country,0)-1,0,COUNTIF(Dest_Country,$A$18),1)</formula1>
      <formula2>0</formula2>
    </dataValidation>
    <dataValidation allowBlank="false" errorStyle="stop" operator="between" showDropDown="false" showErrorMessage="false" showInputMessage="false" sqref="B19" type="list">
      <formula1>OFFSET('Shipping Rates'!$B$4,MATCH($A$19,Dest_Country,0)-1,0,COUNTIF(Dest_Country,$A$19),1)</formula1>
      <formula2>0</formula2>
    </dataValidation>
    <dataValidation allowBlank="false" errorStyle="stop" operator="between" showDropDown="false" showErrorMessage="false" showInputMessage="false" sqref="B20" type="list">
      <formula1>OFFSET('Shipping Rates'!$B$4,MATCH($A$20,Dest_Country,0)-1,0,COUNTIF(Dest_Country,$A$20),1)</formula1>
      <formula2>0</formula2>
    </dataValidation>
    <dataValidation allowBlank="false" errorStyle="stop" operator="between" showDropDown="false" showErrorMessage="false" showInputMessage="false" sqref="B21" type="list">
      <formula1>OFFSET('Shipping Rates'!$B$4,MATCH($A$21,Dest_Country,0)-1,0,COUNTIF(Dest_Country,$A$21),1)</formula1>
      <formula2>0</formula2>
    </dataValidation>
    <dataValidation allowBlank="false" errorStyle="stop" operator="between" showDropDown="false" showErrorMessage="false" showInputMessage="false" sqref="B22" type="list">
      <formula1>OFFSET('Shipping Rates'!$B$4,MATCH($A$22,Dest_Country,0)-1,0,COUNTIF(Dest_Country,$A$22),1)</formula1>
      <formula2>0</formula2>
    </dataValidation>
    <dataValidation allowBlank="false" errorStyle="stop" operator="between" showDropDown="false" showErrorMessage="false" showInputMessage="false" sqref="B23" type="list">
      <formula1>OFFSET('Shipping Rates'!$B$4,MATCH($A$23,Dest_Country,0)-1,0,COUNTIF(Dest_Country,$A$23),1)</formula1>
      <formula2>0</formula2>
    </dataValidation>
    <dataValidation allowBlank="false" errorStyle="stop" operator="between" showDropDown="false" showErrorMessage="false" showInputMessage="false" sqref="B24" type="list">
      <formula1>OFFSET('Shipping Rates'!$B$4,MATCH($A$24,Dest_Country,0)-1,0,COUNTIF(Dest_Country,$A$24),1)</formula1>
      <formula2>0</formula2>
    </dataValidation>
    <dataValidation allowBlank="false" errorStyle="stop" operator="between" showDropDown="false" showErrorMessage="false" showInputMessage="false" sqref="B25" type="list">
      <formula1>OFFSET('Shipping Rates'!$B$4,MATCH($A$25,Dest_Country,0)-1,0,COUNTIF(Dest_Country,$A$25),1)</formula1>
      <formula2>0</formula2>
    </dataValidation>
    <dataValidation allowBlank="false" errorStyle="stop" operator="between" showDropDown="false" showErrorMessage="false" showInputMessage="false" sqref="B26" type="list">
      <formula1>OFFSET('Shipping Rates'!$B$4,MATCH($A$26,Dest_Country,0)-1,0,COUNTIF(Dest_Country,$A$26),1)</formula1>
      <formula2>0</formula2>
    </dataValidation>
    <dataValidation allowBlank="false" errorStyle="stop" operator="between" showDropDown="false" showErrorMessage="false" showInputMessage="false" sqref="B27" type="list">
      <formula1>OFFSET('Shipping Rates'!$B$4,MATCH($A$27,Dest_Country,0)-1,0,COUNTIF(Dest_Country,$A$27),1)</formula1>
      <formula2>0</formula2>
    </dataValidation>
    <dataValidation allowBlank="false" errorStyle="stop" operator="between" showDropDown="false" showErrorMessage="false" showInputMessage="false" sqref="B28" type="list">
      <formula1>OFFSET('Shipping Rates'!$B$4,MATCH($A$28,Dest_Country,0)-1,0,COUNTIF(Dest_Country,$A$28),1)</formula1>
      <formula2>0</formula2>
    </dataValidation>
    <dataValidation allowBlank="false" errorStyle="stop" operator="between" showDropDown="false" showErrorMessage="false" showInputMessage="false" sqref="B29" type="list">
      <formula1>OFFSET('Shipping Rates'!$B$4,MATCH($A$29,Dest_Country,0)-1,0,COUNTIF(Dest_Country,$A$29),1)</formula1>
      <formula2>0</formula2>
    </dataValidation>
    <dataValidation allowBlank="false" errorStyle="stop" operator="between" showDropDown="false" showErrorMessage="false" showInputMessage="false" sqref="B30" type="list">
      <formula1>OFFSET('Shipping Rates'!$B$4,MATCH($A$30,Dest_Country,0)-1,0,COUNTIF(Dest_Country,$A$30),1)</formula1>
      <formula2>0</formula2>
    </dataValidation>
    <dataValidation allowBlank="false" errorStyle="stop" operator="between" showDropDown="false" showErrorMessage="false" showInputMessage="false" sqref="B31" type="list">
      <formula1>OFFSET('Shipping Rates'!$B$4,MATCH($A$31,Dest_Country,0)-1,0,COUNTIF(Dest_Country,$A$31),1)</formula1>
      <formula2>0</formula2>
    </dataValidation>
    <dataValidation allowBlank="false" errorStyle="stop" operator="between" showDropDown="false" showErrorMessage="false" showInputMessage="false" sqref="B32" type="list">
      <formula1>OFFSET('Shipping Rates'!$B$4,MATCH($A$32,Dest_Country,0)-1,0,COUNTIF(Dest_Country,$A$32),1)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3" min="3" style="0" width="58"/>
  </cols>
  <sheetData>
    <row r="1" customFormat="false" ht="16.15" hidden="false" customHeight="false" outlineLevel="0" collapsed="false">
      <c r="A1" s="4" t="s">
        <v>95</v>
      </c>
      <c r="E1" s="25" t="n">
        <f aca="false">(MATCH(B3,C_Countries,0)-1)*3+B4</f>
        <v>2</v>
      </c>
    </row>
    <row r="3" customFormat="false" ht="15" hidden="false" customHeight="false" outlineLevel="0" collapsed="false">
      <c r="A3" s="12" t="s">
        <v>38</v>
      </c>
      <c r="B3" s="15" t="s">
        <v>45</v>
      </c>
    </row>
    <row r="4" customFormat="false" ht="15" hidden="false" customHeight="false" outlineLevel="0" collapsed="false">
      <c r="A4" s="12" t="s">
        <v>96</v>
      </c>
      <c r="B4" s="26" t="n">
        <v>2</v>
      </c>
      <c r="C4" s="27" t="str">
        <f aca="false">INDEX('Product &amp; Offers'!$B$14:$B$16,B4)</f>
        <v>Buy 2 Get 1 Free</v>
      </c>
    </row>
    <row r="6" customFormat="false" ht="15" hidden="false" customHeight="false" outlineLevel="0" collapsed="false">
      <c r="A6" s="6" t="s">
        <v>97</v>
      </c>
      <c r="B6" s="7"/>
      <c r="C6" s="7"/>
    </row>
    <row r="7" customFormat="false" ht="15" hidden="false" customHeight="false" outlineLevel="0" collapsed="false">
      <c r="A7" s="8" t="s">
        <v>98</v>
      </c>
      <c r="B7" s="28" t="str">
        <f aca="false">INDEX(Calc!$D$3:$D$83,D_Row)</f>
        <v>Sameday RO</v>
      </c>
      <c r="C7" s="29"/>
    </row>
    <row r="8" customFormat="false" ht="15" hidden="false" customHeight="false" outlineLevel="0" collapsed="false">
      <c r="A8" s="8" t="s">
        <v>26</v>
      </c>
      <c r="B8" s="30" t="n">
        <f aca="false">INDEX(Calc!$E$3:$E$83,D_Row)</f>
        <v>3</v>
      </c>
      <c r="C8" s="29"/>
    </row>
    <row r="9" customFormat="false" ht="15" hidden="false" customHeight="false" outlineLevel="0" collapsed="false">
      <c r="A9" s="8" t="s">
        <v>40</v>
      </c>
      <c r="B9" s="24" t="n">
        <f aca="false">INDEX(Calc!$F$3:$F$83,D_Row)</f>
        <v>29.9</v>
      </c>
      <c r="C9" s="29" t="s">
        <v>99</v>
      </c>
    </row>
    <row r="10" customFormat="false" ht="15" hidden="false" customHeight="false" outlineLevel="0" collapsed="false">
      <c r="A10" s="8" t="s">
        <v>100</v>
      </c>
      <c r="B10" s="24" t="n">
        <f aca="false">INDEX(Calc!$G$3:$G$83,D_Row)</f>
        <v>59.8</v>
      </c>
      <c r="C10" s="29" t="s">
        <v>101</v>
      </c>
    </row>
    <row r="11" customFormat="false" ht="15" hidden="false" customHeight="false" outlineLevel="0" collapsed="false">
      <c r="A11" s="8" t="s">
        <v>102</v>
      </c>
      <c r="B11" s="24" t="n">
        <f aca="false">INDEX(Calc!$H$3:$H$83,D_Row)</f>
        <v>0</v>
      </c>
      <c r="C11" s="29" t="s">
        <v>103</v>
      </c>
    </row>
    <row r="12" customFormat="false" ht="15" hidden="false" customHeight="false" outlineLevel="0" collapsed="false">
      <c r="A12" s="12" t="s">
        <v>104</v>
      </c>
      <c r="B12" s="23" t="n">
        <f aca="false">INDEX(Calc!$I$3:$I$83,D_Row)</f>
        <v>59.8</v>
      </c>
      <c r="C12" s="29"/>
    </row>
    <row r="13" customFormat="false" ht="15" hidden="false" customHeight="false" outlineLevel="0" collapsed="false">
      <c r="A13" s="8" t="s">
        <v>105</v>
      </c>
      <c r="B13" s="24" t="n">
        <f aca="false">INDEX(Calc!$K$3:$K$83,D_Row)</f>
        <v>10.3785123966942</v>
      </c>
      <c r="C13" s="29"/>
    </row>
    <row r="14" customFormat="false" ht="15" hidden="false" customHeight="false" outlineLevel="0" collapsed="false">
      <c r="A14" s="12" t="s">
        <v>106</v>
      </c>
      <c r="B14" s="23" t="n">
        <f aca="false">INDEX(Calc!$L$3:$L$83,D_Row)</f>
        <v>49.4214876033058</v>
      </c>
      <c r="C14" s="29"/>
    </row>
    <row r="15" customFormat="false" ht="15" hidden="false" customHeight="false" outlineLevel="0" collapsed="false">
      <c r="A15" s="6" t="s">
        <v>107</v>
      </c>
      <c r="B15" s="7"/>
      <c r="C15" s="7"/>
    </row>
    <row r="16" customFormat="false" ht="15" hidden="false" customHeight="false" outlineLevel="0" collapsed="false">
      <c r="A16" s="8" t="s">
        <v>108</v>
      </c>
      <c r="B16" s="24" t="n">
        <f aca="false">INDEX(Calc!$M$3:$M$83,D_Row)</f>
        <v>16.14</v>
      </c>
      <c r="C16" s="29" t="s">
        <v>109</v>
      </c>
    </row>
    <row r="17" customFormat="false" ht="15" hidden="false" customHeight="false" outlineLevel="0" collapsed="false">
      <c r="A17" s="8" t="s">
        <v>110</v>
      </c>
      <c r="B17" s="24" t="n">
        <f aca="false">INDEX(Calc!$Q$3:$Q$83,D_Row)</f>
        <v>2.66734455448582</v>
      </c>
      <c r="C17" s="29" t="s">
        <v>111</v>
      </c>
    </row>
    <row r="18" customFormat="false" ht="15" hidden="false" customHeight="false" outlineLevel="0" collapsed="false">
      <c r="A18" s="8" t="s">
        <v>112</v>
      </c>
      <c r="B18" s="24" t="n">
        <f aca="false">INDEX(Calc!$R$3:$R$83,D_Row)</f>
        <v>1</v>
      </c>
      <c r="C18" s="29" t="s">
        <v>113</v>
      </c>
    </row>
    <row r="19" customFormat="false" ht="15" hidden="false" customHeight="false" outlineLevel="0" collapsed="false">
      <c r="A19" s="8" t="s">
        <v>114</v>
      </c>
      <c r="B19" s="24" t="n">
        <f aca="false">INDEX(Calc!$S$3:$S$83,D_Row)</f>
        <v>0.13</v>
      </c>
      <c r="C19" s="29"/>
    </row>
    <row r="20" customFormat="false" ht="15" hidden="false" customHeight="false" outlineLevel="0" collapsed="false">
      <c r="A20" s="8" t="s">
        <v>115</v>
      </c>
      <c r="B20" s="24" t="n">
        <f aca="false">INDEX(Calc!$U$3:$U$83,D_Row)</f>
        <v>0.759468910897164</v>
      </c>
      <c r="C20" s="29" t="s">
        <v>116</v>
      </c>
    </row>
    <row r="21" customFormat="false" ht="15" hidden="false" customHeight="false" outlineLevel="0" collapsed="false">
      <c r="A21" s="8" t="s">
        <v>117</v>
      </c>
      <c r="B21" s="24" t="n">
        <f aca="false">INDEX(Calc!$T$3:$T$83,D_Row)</f>
        <v>3.4892</v>
      </c>
      <c r="C21" s="29" t="s">
        <v>118</v>
      </c>
    </row>
    <row r="22" customFormat="false" ht="15" hidden="false" customHeight="false" outlineLevel="0" collapsed="false">
      <c r="A22" s="8" t="s">
        <v>43</v>
      </c>
      <c r="B22" s="24" t="n">
        <f aca="false">INDEX(Calc!$V$3:$V$83,D_Row)</f>
        <v>15</v>
      </c>
      <c r="C22" s="29" t="s">
        <v>99</v>
      </c>
    </row>
    <row r="23" customFormat="false" ht="15" hidden="false" customHeight="false" outlineLevel="0" collapsed="false">
      <c r="A23" s="8" t="s">
        <v>119</v>
      </c>
      <c r="B23" s="24" t="n">
        <f aca="false">INDEX(Calc!$W$3:$W$83,D_Row)</f>
        <v>1.5844</v>
      </c>
      <c r="C23" s="29" t="s">
        <v>120</v>
      </c>
    </row>
    <row r="24" customFormat="false" ht="15" hidden="false" customHeight="false" outlineLevel="0" collapsed="false">
      <c r="A24" s="8" t="s">
        <v>121</v>
      </c>
      <c r="B24" s="24" t="n">
        <f aca="false">INDEX(Calc!$Y$3:$Y$83,D_Row)</f>
        <v>1.11868462809917</v>
      </c>
      <c r="C24" s="29" t="s">
        <v>122</v>
      </c>
    </row>
    <row r="25" customFormat="false" ht="15" hidden="false" customHeight="false" outlineLevel="0" collapsed="false">
      <c r="A25" s="12" t="s">
        <v>123</v>
      </c>
      <c r="B25" s="23" t="n">
        <f aca="false">INDEX(Calc!$Z$3:$Z$83,D_Row)</f>
        <v>41.8890980934822</v>
      </c>
      <c r="C25" s="29"/>
    </row>
    <row r="26" customFormat="false" ht="15" hidden="false" customHeight="false" outlineLevel="0" collapsed="false">
      <c r="A26" s="6" t="s">
        <v>124</v>
      </c>
      <c r="B26" s="7"/>
      <c r="C26" s="7"/>
    </row>
    <row r="27" customFormat="false" ht="15" hidden="false" customHeight="false" outlineLevel="0" collapsed="false">
      <c r="A27" s="31" t="s">
        <v>125</v>
      </c>
      <c r="B27" s="32" t="n">
        <f aca="false">IF(INDEX(Calc!$AA$3:$AA$83,D_Row)="OK",INDEX(Calc!$AB$3:$AB$83,D_Row),INDEX(Calc!$AA$3:$AA$83,D_Row))</f>
        <v>7.53238950982362</v>
      </c>
      <c r="C27" s="29"/>
    </row>
    <row r="28" customFormat="false" ht="15" hidden="false" customHeight="false" outlineLevel="0" collapsed="false">
      <c r="A28" s="33" t="s">
        <v>126</v>
      </c>
      <c r="B28" s="34" t="n">
        <f aca="false">INDEX(Calc!$AC$3:$AC$83,D_Row)</f>
        <v>0.152411225867669</v>
      </c>
      <c r="C28" s="29" t="s">
        <v>127</v>
      </c>
    </row>
    <row r="29" customFormat="false" ht="15" hidden="false" customHeight="false" outlineLevel="0" collapsed="false">
      <c r="A29" s="33" t="s">
        <v>128</v>
      </c>
      <c r="B29" s="35" t="n">
        <f aca="false">INDEX(Calc!$AD$3:$AD$83,D_Row)</f>
        <v>22.5323895098236</v>
      </c>
      <c r="C29" s="29" t="s">
        <v>129</v>
      </c>
    </row>
    <row r="30" customFormat="false" ht="15" hidden="false" customHeight="false" outlineLevel="0" collapsed="false">
      <c r="A30" s="33" t="s">
        <v>130</v>
      </c>
      <c r="B30" s="36" t="n">
        <f aca="false">INDEX(Calc!$AE$3:$AE$83,D_Row)</f>
        <v>2.65395731659656</v>
      </c>
      <c r="C30" s="29" t="s">
        <v>131</v>
      </c>
    </row>
    <row r="31" customFormat="false" ht="15" hidden="false" customHeight="false" outlineLevel="0" collapsed="false">
      <c r="A31" s="33" t="s">
        <v>132</v>
      </c>
      <c r="B31" s="37" t="str">
        <f aca="false">INDEX(Calc!$AA$3:$AA$83,D_Row)</f>
        <v>OK</v>
      </c>
      <c r="C31" s="29"/>
    </row>
  </sheetData>
  <conditionalFormatting sqref="B27">
    <cfRule type="expression" priority="2" aboveAverage="0" equalAverage="0" bottom="0" percent="0" rank="0" text="" dxfId="0">
      <formula>AND(ISNUMBER(B27),B27&lt;0)</formula>
    </cfRule>
    <cfRule type="expression" priority="3" aboveAverage="0" equalAverage="0" bottom="0" percent="0" rank="0" text="" dxfId="1">
      <formula>AND(ISNUMBER(B27),B27&gt;0)</formula>
    </cfRule>
  </conditionalFormatting>
  <conditionalFormatting sqref="B29">
    <cfRule type="expression" priority="4" aboveAverage="0" equalAverage="0" bottom="0" percent="0" rank="0" text="" dxfId="0">
      <formula>AND(ISNUMBER(B29),B29&lt;0)</formula>
    </cfRule>
    <cfRule type="expression" priority="5" aboveAverage="0" equalAverage="0" bottom="0" percent="0" rank="0" text="" dxfId="1">
      <formula>AND(ISNUMBER(B29),B29&gt;0)</formula>
    </cfRule>
  </conditionalFormatting>
  <dataValidations count="2">
    <dataValidation allowBlank="false" errorStyle="stop" operator="between" showDropDown="false" showErrorMessage="false" showInputMessage="false" sqref="B3" type="list">
      <formula1>C_Countries</formula1>
      <formula2>0</formula2>
    </dataValidation>
    <dataValidation allowBlank="false" errorStyle="stop" operator="between" showDropDown="false" showErrorMessage="false" showInputMessage="fals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D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14"/>
    <col collapsed="false" customWidth="true" hidden="false" outlineLevel="0" max="4" min="4" style="0" width="90"/>
  </cols>
  <sheetData>
    <row r="1" customFormat="false" ht="16.15" hidden="false" customHeight="false" outlineLevel="0" collapsed="false">
      <c r="B1" s="4" t="s">
        <v>133</v>
      </c>
    </row>
    <row r="4" customFormat="false" ht="15" hidden="false" customHeight="false" outlineLevel="0" collapsed="false">
      <c r="B4" s="6" t="s">
        <v>134</v>
      </c>
      <c r="C4" s="7"/>
      <c r="D4" s="7"/>
    </row>
    <row r="5" customFormat="false" ht="15" hidden="false" customHeight="false" outlineLevel="0" collapsed="false">
      <c r="B5" s="8" t="s">
        <v>135</v>
      </c>
      <c r="C5" s="38" t="n">
        <v>0.029</v>
      </c>
      <c r="D5" s="19" t="s">
        <v>136</v>
      </c>
    </row>
    <row r="6" customFormat="false" ht="15" hidden="false" customHeight="false" outlineLevel="0" collapsed="false">
      <c r="B6" s="8" t="s">
        <v>137</v>
      </c>
      <c r="C6" s="38" t="n">
        <v>0.015</v>
      </c>
      <c r="D6" s="19" t="s">
        <v>138</v>
      </c>
    </row>
    <row r="7" customFormat="false" ht="15" hidden="false" customHeight="false" outlineLevel="0" collapsed="false">
      <c r="B7" s="8" t="s">
        <v>139</v>
      </c>
      <c r="C7" s="38" t="n">
        <v>0.01</v>
      </c>
      <c r="D7" s="19" t="s">
        <v>140</v>
      </c>
    </row>
    <row r="8" customFormat="false" ht="15" hidden="false" customHeight="false" outlineLevel="0" collapsed="false">
      <c r="B8" s="8" t="s">
        <v>141</v>
      </c>
      <c r="C8" s="39" t="n">
        <v>0.26</v>
      </c>
      <c r="D8" s="19" t="s">
        <v>142</v>
      </c>
    </row>
    <row r="9" customFormat="false" ht="15" hidden="false" customHeight="false" outlineLevel="0" collapsed="false">
      <c r="B9" s="12" t="s">
        <v>143</v>
      </c>
      <c r="C9" s="40" t="n">
        <f aca="false">St_Base+St_Intl+St_Settle</f>
        <v>0.054</v>
      </c>
      <c r="D9" s="19"/>
    </row>
    <row r="11" customFormat="false" ht="15" hidden="false" customHeight="false" outlineLevel="0" collapsed="false">
      <c r="B11" s="6" t="s">
        <v>144</v>
      </c>
      <c r="C11" s="7"/>
      <c r="D11" s="7"/>
    </row>
    <row r="12" customFormat="false" ht="15" hidden="false" customHeight="false" outlineLevel="0" collapsed="false">
      <c r="B12" s="8" t="s">
        <v>145</v>
      </c>
      <c r="C12" s="41" t="s">
        <v>146</v>
      </c>
      <c r="D12" s="19" t="s">
        <v>147</v>
      </c>
    </row>
    <row r="13" customFormat="false" ht="15" hidden="false" customHeight="false" outlineLevel="0" collapsed="false">
      <c r="B13" s="8" t="s">
        <v>148</v>
      </c>
      <c r="C13" s="42" t="n">
        <v>0.2</v>
      </c>
      <c r="D13" s="19" t="s">
        <v>149</v>
      </c>
    </row>
    <row r="14" customFormat="false" ht="15" hidden="false" customHeight="false" outlineLevel="0" collapsed="false">
      <c r="B14" s="8" t="s">
        <v>150</v>
      </c>
      <c r="C14" s="41" t="s">
        <v>151</v>
      </c>
      <c r="D14" s="19" t="s">
        <v>152</v>
      </c>
    </row>
    <row r="15" customFormat="false" ht="15" hidden="false" customHeight="false" outlineLevel="0" collapsed="false">
      <c r="B15" s="12" t="s">
        <v>153</v>
      </c>
      <c r="C15" s="43" t="n">
        <f aca="false">IF(FF_VAT_Reclaim="No",1+FF_VAT_Rate,1)</f>
        <v>1.2</v>
      </c>
      <c r="D15" s="19"/>
    </row>
    <row r="17" customFormat="false" ht="15" hidden="false" customHeight="false" outlineLevel="0" collapsed="false">
      <c r="B17" s="6" t="s">
        <v>154</v>
      </c>
      <c r="C17" s="7"/>
      <c r="D17" s="7"/>
    </row>
    <row r="18" customFormat="false" ht="15" hidden="false" customHeight="false" outlineLevel="0" collapsed="false">
      <c r="B18" s="8" t="s">
        <v>155</v>
      </c>
      <c r="C18" s="39" t="n">
        <v>0.65</v>
      </c>
      <c r="D18" s="19"/>
    </row>
    <row r="19" customFormat="false" ht="15" hidden="false" customHeight="false" outlineLevel="0" collapsed="false">
      <c r="B19" s="8" t="s">
        <v>156</v>
      </c>
      <c r="C19" s="39" t="n">
        <v>0.35</v>
      </c>
      <c r="D19" s="19"/>
    </row>
    <row r="20" customFormat="false" ht="15" hidden="false" customHeight="false" outlineLevel="0" collapsed="false">
      <c r="B20" s="8" t="s">
        <v>157</v>
      </c>
      <c r="C20" s="39" t="n">
        <v>0.65</v>
      </c>
      <c r="D20" s="19"/>
    </row>
    <row r="21" customFormat="false" ht="15" hidden="false" customHeight="false" outlineLevel="0" collapsed="false">
      <c r="B21" s="8" t="s">
        <v>158</v>
      </c>
      <c r="C21" s="39" t="n">
        <v>0.08</v>
      </c>
      <c r="D21" s="19" t="s">
        <v>159</v>
      </c>
    </row>
    <row r="22" customFormat="false" ht="15" hidden="false" customHeight="false" outlineLevel="0" collapsed="false">
      <c r="B22" s="8" t="s">
        <v>160</v>
      </c>
      <c r="C22" s="39" t="n">
        <v>0.13</v>
      </c>
      <c r="D22" s="19"/>
    </row>
    <row r="23" customFormat="false" ht="15" hidden="false" customHeight="false" outlineLevel="0" collapsed="false">
      <c r="B23" s="8" t="s">
        <v>161</v>
      </c>
      <c r="C23" s="39" t="n">
        <v>0.65</v>
      </c>
      <c r="D23" s="19"/>
    </row>
    <row r="24" customFormat="false" ht="15" hidden="false" customHeight="false" outlineLevel="0" collapsed="false">
      <c r="B24" s="8" t="s">
        <v>162</v>
      </c>
      <c r="C24" s="41" t="s">
        <v>151</v>
      </c>
      <c r="D24" s="19" t="s">
        <v>163</v>
      </c>
    </row>
    <row r="26" customFormat="false" ht="15" hidden="false" customHeight="false" outlineLevel="0" collapsed="false">
      <c r="B26" s="6" t="s">
        <v>164</v>
      </c>
      <c r="C26" s="7"/>
      <c r="D26" s="7"/>
    </row>
    <row r="27" customFormat="false" ht="15" hidden="false" customHeight="false" outlineLevel="0" collapsed="false">
      <c r="B27" s="8" t="s">
        <v>165</v>
      </c>
      <c r="C27" s="44" t="n">
        <v>150</v>
      </c>
      <c r="D27" s="19"/>
    </row>
    <row r="28" customFormat="false" ht="15" hidden="false" customHeight="false" outlineLevel="0" collapsed="false">
      <c r="B28" s="8" t="s">
        <v>166</v>
      </c>
      <c r="C28" s="45" t="n">
        <v>1</v>
      </c>
      <c r="D28" s="19"/>
    </row>
    <row r="29" customFormat="false" ht="15" hidden="false" customHeight="false" outlineLevel="0" collapsed="false">
      <c r="B29" s="8" t="s">
        <v>167</v>
      </c>
      <c r="C29" s="39" t="n">
        <v>17</v>
      </c>
      <c r="D29" s="19"/>
    </row>
    <row r="30" customFormat="false" ht="15" hidden="false" customHeight="false" outlineLevel="0" collapsed="false">
      <c r="B30" s="8" t="s">
        <v>168</v>
      </c>
      <c r="C30" s="39" t="n">
        <v>165</v>
      </c>
      <c r="D30" s="19"/>
    </row>
    <row r="31" customFormat="false" ht="15" hidden="false" customHeight="false" outlineLevel="0" collapsed="false">
      <c r="B31" s="8" t="s">
        <v>169</v>
      </c>
      <c r="C31" s="46" t="n">
        <v>1</v>
      </c>
      <c r="D31" s="19" t="s">
        <v>170</v>
      </c>
    </row>
    <row r="32" customFormat="false" ht="15" hidden="false" customHeight="false" outlineLevel="0" collapsed="false">
      <c r="B32" s="8" t="s">
        <v>171</v>
      </c>
      <c r="C32" s="39" t="n">
        <v>39</v>
      </c>
      <c r="D32" s="19"/>
    </row>
    <row r="33" customFormat="false" ht="15" hidden="false" customHeight="false" outlineLevel="0" collapsed="false">
      <c r="B33" s="8" t="s">
        <v>172</v>
      </c>
      <c r="C33" s="39" t="n">
        <v>0</v>
      </c>
      <c r="D33" s="19" t="s">
        <v>173</v>
      </c>
    </row>
    <row r="34" customFormat="false" ht="15" hidden="false" customHeight="false" outlineLevel="0" collapsed="false">
      <c r="B34" s="12" t="s">
        <v>174</v>
      </c>
      <c r="C34" s="23" t="n">
        <f aca="false">(IF(Orders_Month&lt;300,MAX(Storage_Min,Pallets*Storage_Pallet),Pallets*Storage_Pallet)+PP_Locations*0.55)*FF_VAT_Mult+Platform_Fee+Other_Fixed</f>
        <v>237.66</v>
      </c>
      <c r="D34" s="19"/>
    </row>
    <row r="35" customFormat="false" ht="15" hidden="false" customHeight="false" outlineLevel="0" collapsed="false">
      <c r="B35" s="12" t="s">
        <v>175</v>
      </c>
      <c r="C35" s="23" t="n">
        <f aca="false">IF(Orders_Month&gt;0,Fixed_Month/Orders_Month,0)</f>
        <v>1.5844</v>
      </c>
      <c r="D35" s="19"/>
    </row>
  </sheetData>
  <dataValidations count="1">
    <dataValidation allowBlank="false" errorStyle="stop" operator="between" showDropDown="false" showErrorMessage="false" showInputMessage="false" sqref="C12 C14 C24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5"/>
    <col collapsed="false" customWidth="true" hidden="false" outlineLevel="0" max="3" min="3" style="0" width="17"/>
    <col collapsed="false" customWidth="true" hidden="false" outlineLevel="0" max="4" min="4" style="0" width="9"/>
    <col collapsed="false" customWidth="true" hidden="false" outlineLevel="0" max="5" min="5" style="0" width="8"/>
    <col collapsed="false" customWidth="true" hidden="false" outlineLevel="0" max="17" min="6" style="0" width="7"/>
    <col collapsed="false" customWidth="true" hidden="false" outlineLevel="0" max="18" min="18" style="0" width="50"/>
  </cols>
  <sheetData>
    <row r="1" customFormat="false" ht="16.15" hidden="false" customHeight="false" outlineLevel="0" collapsed="false">
      <c r="A1" s="4" t="s">
        <v>176</v>
      </c>
    </row>
    <row r="2" customFormat="false" ht="15" hidden="false" customHeight="false" outlineLevel="0" collapsed="false">
      <c r="A2" s="5" t="s">
        <v>177</v>
      </c>
    </row>
    <row r="3" customFormat="false" ht="30" hidden="false" customHeight="true" outlineLevel="0" collapsed="false">
      <c r="A3" s="14" t="s">
        <v>38</v>
      </c>
      <c r="B3" s="14" t="s">
        <v>98</v>
      </c>
      <c r="C3" s="14" t="s">
        <v>178</v>
      </c>
      <c r="D3" s="14" t="s">
        <v>179</v>
      </c>
      <c r="E3" s="14" t="s">
        <v>180</v>
      </c>
      <c r="F3" s="47" t="n">
        <v>0.25</v>
      </c>
      <c r="G3" s="47" t="n">
        <v>0.5</v>
      </c>
      <c r="H3" s="47" t="n">
        <v>1</v>
      </c>
      <c r="I3" s="47" t="n">
        <v>2</v>
      </c>
      <c r="J3" s="47" t="n">
        <v>3</v>
      </c>
      <c r="K3" s="47" t="n">
        <v>4</v>
      </c>
      <c r="L3" s="47" t="n">
        <v>5</v>
      </c>
      <c r="M3" s="47" t="n">
        <v>6</v>
      </c>
      <c r="N3" s="47" t="n">
        <v>7</v>
      </c>
      <c r="O3" s="47" t="n">
        <v>8</v>
      </c>
      <c r="P3" s="47" t="n">
        <v>9</v>
      </c>
      <c r="Q3" s="47" t="n">
        <v>10</v>
      </c>
      <c r="R3" s="14" t="s">
        <v>181</v>
      </c>
    </row>
    <row r="4" customFormat="false" ht="15" hidden="false" customHeight="false" outlineLevel="0" collapsed="false">
      <c r="A4" s="21" t="s">
        <v>45</v>
      </c>
      <c r="B4" s="18" t="s">
        <v>182</v>
      </c>
      <c r="C4" s="18" t="s">
        <v>183</v>
      </c>
      <c r="D4" s="48" t="n">
        <v>0</v>
      </c>
      <c r="E4" s="49" t="n">
        <v>0</v>
      </c>
      <c r="F4" s="50" t="n">
        <v>2.88909184336062</v>
      </c>
      <c r="G4" s="50" t="n">
        <v>2.88909184336062</v>
      </c>
      <c r="H4" s="50" t="n">
        <v>2.88909184336062</v>
      </c>
      <c r="I4" s="50" t="n">
        <v>2.99869290882823</v>
      </c>
      <c r="J4" s="50" t="n">
        <v>2.99869290882823</v>
      </c>
      <c r="K4" s="50" t="n">
        <v>3.39196732021199</v>
      </c>
      <c r="L4" s="50" t="n">
        <v>3.39196732021199</v>
      </c>
      <c r="M4" s="50" t="n">
        <v>4.3139056944395</v>
      </c>
      <c r="N4" s="50" t="n">
        <v>4.3139056944395</v>
      </c>
      <c r="O4" s="50" t="n">
        <v>4.3139056944395</v>
      </c>
      <c r="P4" s="50" t="n">
        <v>4.3139056944395</v>
      </c>
      <c r="Q4" s="50" t="n">
        <v>4.3139056944395</v>
      </c>
      <c r="R4" s="51"/>
    </row>
    <row r="5" customFormat="false" ht="15" hidden="false" customHeight="false" outlineLevel="0" collapsed="false">
      <c r="A5" s="21" t="s">
        <v>45</v>
      </c>
      <c r="B5" s="18" t="s">
        <v>184</v>
      </c>
      <c r="C5" s="18" t="s">
        <v>183</v>
      </c>
      <c r="D5" s="48" t="n">
        <v>0</v>
      </c>
      <c r="E5" s="49" t="n">
        <v>0</v>
      </c>
      <c r="F5" s="50" t="n">
        <v>2.97795437231252</v>
      </c>
      <c r="G5" s="50" t="n">
        <v>2.97795437231252</v>
      </c>
      <c r="H5" s="50" t="n">
        <v>2.97795437231252</v>
      </c>
      <c r="I5" s="50" t="n">
        <v>2.97795437231252</v>
      </c>
      <c r="J5" s="50" t="n">
        <v>3.23597159282983</v>
      </c>
      <c r="K5" s="50" t="n">
        <v>3.49398881334714</v>
      </c>
      <c r="L5" s="50" t="n">
        <v>3.75200603386445</v>
      </c>
      <c r="M5" s="50" t="n">
        <v>4.01002325438176</v>
      </c>
      <c r="N5" s="50" t="n">
        <v>4.26804047489907</v>
      </c>
      <c r="O5" s="50" t="n">
        <v>4.52605769541638</v>
      </c>
      <c r="P5" s="50" t="n">
        <v>4.78407491593369</v>
      </c>
      <c r="Q5" s="50" t="n">
        <v>5.042092136451</v>
      </c>
      <c r="R5" s="51"/>
    </row>
    <row r="6" customFormat="false" ht="15" hidden="false" customHeight="false" outlineLevel="0" collapsed="false">
      <c r="A6" s="21" t="s">
        <v>45</v>
      </c>
      <c r="B6" s="18" t="s">
        <v>46</v>
      </c>
      <c r="C6" s="18" t="s">
        <v>183</v>
      </c>
      <c r="D6" s="48" t="n">
        <v>0</v>
      </c>
      <c r="E6" s="49" t="n">
        <v>0</v>
      </c>
      <c r="F6" s="50" t="n">
        <v>2.66734455448582</v>
      </c>
      <c r="G6" s="50" t="n">
        <v>2.66734455448582</v>
      </c>
      <c r="H6" s="50" t="n">
        <v>2.66734455448582</v>
      </c>
      <c r="I6" s="50" t="n">
        <v>2.66734455448582</v>
      </c>
      <c r="J6" s="50" t="n">
        <v>2.85082706841057</v>
      </c>
      <c r="K6" s="50" t="n">
        <v>3.03430958233531</v>
      </c>
      <c r="L6" s="50" t="n">
        <v>3.21779209626006</v>
      </c>
      <c r="M6" s="50" t="n">
        <v>3.4012746101848</v>
      </c>
      <c r="N6" s="50" t="n">
        <v>3.58475712410955</v>
      </c>
      <c r="O6" s="50" t="n">
        <v>3.7682396380343</v>
      </c>
      <c r="P6" s="50" t="n">
        <v>3.95172215195904</v>
      </c>
      <c r="Q6" s="50" t="n">
        <v>4.13520466588379</v>
      </c>
      <c r="R6" s="51"/>
    </row>
    <row r="7" customFormat="false" ht="15" hidden="false" customHeight="false" outlineLevel="0" collapsed="false">
      <c r="A7" s="21" t="s">
        <v>47</v>
      </c>
      <c r="B7" s="18" t="s">
        <v>48</v>
      </c>
      <c r="C7" s="18" t="s">
        <v>183</v>
      </c>
      <c r="D7" s="48" t="n">
        <v>0</v>
      </c>
      <c r="E7" s="49" t="n">
        <v>0</v>
      </c>
      <c r="F7" s="50" t="n">
        <v>2.66734455448582</v>
      </c>
      <c r="G7" s="50" t="n">
        <v>2.66734455448582</v>
      </c>
      <c r="H7" s="50" t="n">
        <v>2.66734455448582</v>
      </c>
      <c r="I7" s="50" t="n">
        <v>2.66734455448582</v>
      </c>
      <c r="J7" s="50" t="n">
        <v>2.66734455448582</v>
      </c>
      <c r="K7" s="50" t="n">
        <v>2.89669769689175</v>
      </c>
      <c r="L7" s="50" t="n">
        <v>3.12605083929768</v>
      </c>
      <c r="M7" s="50" t="n">
        <v>3.35540398170362</v>
      </c>
      <c r="N7" s="50" t="n">
        <v>3.58475712410955</v>
      </c>
      <c r="O7" s="50" t="n">
        <v>3.81411026651548</v>
      </c>
      <c r="P7" s="50" t="n">
        <v>4.04346340892141</v>
      </c>
      <c r="Q7" s="50" t="n">
        <v>4.27281655132734</v>
      </c>
      <c r="R7" s="51"/>
    </row>
    <row r="8" customFormat="false" ht="15" hidden="false" customHeight="false" outlineLevel="0" collapsed="false">
      <c r="A8" s="21" t="s">
        <v>47</v>
      </c>
      <c r="B8" s="18" t="s">
        <v>185</v>
      </c>
      <c r="C8" s="18" t="s">
        <v>183</v>
      </c>
      <c r="D8" s="48" t="n">
        <v>0.01</v>
      </c>
      <c r="E8" s="49" t="n">
        <v>0.1</v>
      </c>
      <c r="F8" s="50" t="n">
        <v>3.1461480973977</v>
      </c>
      <c r="G8" s="50" t="n">
        <v>3.1461480973977</v>
      </c>
      <c r="H8" s="50" t="n">
        <v>3.1461480973977</v>
      </c>
      <c r="I8" s="50" t="n">
        <v>3.79294666005467</v>
      </c>
      <c r="J8" s="50" t="n">
        <v>4.70105048106018</v>
      </c>
      <c r="K8" s="50" t="n">
        <v>4.70105048106018</v>
      </c>
      <c r="L8" s="50" t="n">
        <v>4.70105048106018</v>
      </c>
      <c r="M8" s="50" t="n">
        <v>6.78604868829951</v>
      </c>
      <c r="N8" s="50" t="n">
        <v>6.78604868829951</v>
      </c>
      <c r="O8" s="50" t="n">
        <v>6.78604868829951</v>
      </c>
      <c r="P8" s="50" t="n">
        <v>6.78604868829951</v>
      </c>
      <c r="Q8" s="50" t="n">
        <v>6.78604868829951</v>
      </c>
      <c r="R8" s="51" t="s">
        <v>186</v>
      </c>
    </row>
    <row r="9" customFormat="false" ht="15" hidden="false" customHeight="false" outlineLevel="0" collapsed="false">
      <c r="A9" s="21" t="s">
        <v>49</v>
      </c>
      <c r="B9" s="18" t="s">
        <v>187</v>
      </c>
      <c r="C9" s="18" t="s">
        <v>188</v>
      </c>
      <c r="D9" s="48" t="n">
        <v>0</v>
      </c>
      <c r="E9" s="49" t="n">
        <v>0</v>
      </c>
      <c r="F9" s="50" t="n">
        <v>4.1875</v>
      </c>
      <c r="G9" s="50" t="n">
        <v>4.1875</v>
      </c>
      <c r="H9" s="50" t="n">
        <v>4.1875</v>
      </c>
      <c r="I9" s="50" t="n">
        <v>4.60625</v>
      </c>
      <c r="J9" s="50" t="n">
        <v>6.05791666666667</v>
      </c>
      <c r="K9" s="50" t="n">
        <v>7.50958333333333</v>
      </c>
      <c r="L9" s="50" t="n">
        <v>8.96125</v>
      </c>
      <c r="M9" s="50" t="n">
        <v>10.4129166666667</v>
      </c>
      <c r="N9" s="50" t="n">
        <v>11.8645833333333</v>
      </c>
      <c r="O9" s="50" t="n">
        <v>13.31625</v>
      </c>
      <c r="P9" s="50" t="n">
        <v>14.7679166666667</v>
      </c>
      <c r="Q9" s="50" t="n">
        <v>16.2195833333333</v>
      </c>
      <c r="R9" s="51"/>
    </row>
    <row r="10" customFormat="false" ht="15" hidden="false" customHeight="false" outlineLevel="0" collapsed="false">
      <c r="A10" s="21" t="s">
        <v>49</v>
      </c>
      <c r="B10" s="18" t="s">
        <v>50</v>
      </c>
      <c r="C10" s="18" t="s">
        <v>188</v>
      </c>
      <c r="D10" s="48" t="n">
        <v>0</v>
      </c>
      <c r="E10" s="49" t="n">
        <v>0</v>
      </c>
      <c r="F10" s="50" t="n">
        <v>3.05</v>
      </c>
      <c r="G10" s="50" t="n">
        <v>3.05</v>
      </c>
      <c r="H10" s="50" t="n">
        <v>3.05</v>
      </c>
      <c r="I10" s="50" t="n">
        <v>3.9255980861244</v>
      </c>
      <c r="J10" s="50" t="n">
        <v>4.80119617224881</v>
      </c>
      <c r="K10" s="50" t="n">
        <v>5.67679425837321</v>
      </c>
      <c r="L10" s="50" t="n">
        <v>6.55239234449761</v>
      </c>
      <c r="M10" s="50" t="n">
        <v>7.42799043062201</v>
      </c>
      <c r="N10" s="50" t="n">
        <v>8.30358851674641</v>
      </c>
      <c r="O10" s="50" t="n">
        <v>9.17918660287081</v>
      </c>
      <c r="P10" s="50" t="n">
        <v>10.0547846889952</v>
      </c>
      <c r="Q10" s="50" t="n">
        <v>10.9303827751196</v>
      </c>
      <c r="R10" s="51"/>
    </row>
    <row r="11" customFormat="false" ht="15" hidden="false" customHeight="false" outlineLevel="0" collapsed="false">
      <c r="A11" s="21" t="s">
        <v>49</v>
      </c>
      <c r="B11" s="18" t="s">
        <v>189</v>
      </c>
      <c r="C11" s="18" t="s">
        <v>188</v>
      </c>
      <c r="D11" s="48" t="n">
        <v>0</v>
      </c>
      <c r="E11" s="49" t="n">
        <v>0</v>
      </c>
      <c r="F11" s="50" t="n">
        <v>3.1625</v>
      </c>
      <c r="G11" s="50" t="n">
        <v>3.1625</v>
      </c>
      <c r="H11" s="50" t="n">
        <v>3.1625</v>
      </c>
      <c r="I11" s="50" t="n">
        <v>3.59770642201835</v>
      </c>
      <c r="J11" s="50" t="n">
        <v>4.84529816513761</v>
      </c>
      <c r="K11" s="50" t="n">
        <v>6.09288990825688</v>
      </c>
      <c r="L11" s="50" t="n">
        <v>7.34048165137615</v>
      </c>
      <c r="M11" s="50" t="n">
        <v>8.58807339449541</v>
      </c>
      <c r="N11" s="50" t="n">
        <v>9.83566513761468</v>
      </c>
      <c r="O11" s="50" t="n">
        <v>11.0832568807339</v>
      </c>
      <c r="P11" s="50" t="n">
        <v>12.3308486238532</v>
      </c>
      <c r="Q11" s="50" t="n">
        <v>13.5784403669725</v>
      </c>
      <c r="R11" s="51"/>
    </row>
    <row r="12" customFormat="false" ht="15" hidden="false" customHeight="false" outlineLevel="0" collapsed="false">
      <c r="A12" s="21" t="s">
        <v>51</v>
      </c>
      <c r="B12" s="18" t="s">
        <v>50</v>
      </c>
      <c r="C12" s="18" t="s">
        <v>190</v>
      </c>
      <c r="D12" s="48" t="n">
        <v>0</v>
      </c>
      <c r="E12" s="49" t="n">
        <v>0</v>
      </c>
      <c r="F12" s="50" t="n">
        <v>7.325</v>
      </c>
      <c r="G12" s="50" t="n">
        <v>7.325</v>
      </c>
      <c r="H12" s="50" t="n">
        <v>7.325</v>
      </c>
      <c r="I12" s="50" t="n">
        <v>7.72382032667877</v>
      </c>
      <c r="J12" s="50" t="n">
        <v>8.12264065335753</v>
      </c>
      <c r="K12" s="50" t="n">
        <v>8.5214609800363</v>
      </c>
      <c r="L12" s="50" t="n">
        <v>8.92028130671506</v>
      </c>
      <c r="M12" s="50" t="n">
        <v>9.31910163339383</v>
      </c>
      <c r="N12" s="50" t="n">
        <v>9.7179219600726</v>
      </c>
      <c r="O12" s="50" t="n">
        <v>10.1167422867514</v>
      </c>
      <c r="P12" s="50" t="n">
        <v>10.5155626134301</v>
      </c>
      <c r="Q12" s="50" t="n">
        <v>10.9143829401089</v>
      </c>
      <c r="R12" s="51"/>
    </row>
    <row r="13" customFormat="false" ht="15" hidden="false" customHeight="false" outlineLevel="0" collapsed="false">
      <c r="A13" s="21" t="s">
        <v>52</v>
      </c>
      <c r="B13" s="18" t="s">
        <v>191</v>
      </c>
      <c r="C13" s="18" t="s">
        <v>192</v>
      </c>
      <c r="D13" s="48" t="n">
        <v>0</v>
      </c>
      <c r="E13" s="49" t="n">
        <v>0.1</v>
      </c>
      <c r="F13" s="50" t="n">
        <v>4.5</v>
      </c>
      <c r="G13" s="50" t="n">
        <v>4.5</v>
      </c>
      <c r="H13" s="50" t="n">
        <v>4.5</v>
      </c>
      <c r="I13" s="50" t="n">
        <v>5.34461538461538</v>
      </c>
      <c r="J13" s="50" t="n">
        <v>6.41076923076923</v>
      </c>
      <c r="K13" s="50" t="n">
        <v>7.65692307692308</v>
      </c>
      <c r="L13" s="50" t="n">
        <v>8.50153846153846</v>
      </c>
      <c r="M13" s="50" t="n">
        <v>9.70615384615385</v>
      </c>
      <c r="N13" s="50" t="n">
        <v>10.5507692307692</v>
      </c>
      <c r="O13" s="50" t="n">
        <v>11.3953846153846</v>
      </c>
      <c r="P13" s="50" t="n">
        <v>12.24</v>
      </c>
      <c r="Q13" s="50" t="n">
        <v>13.0846153846154</v>
      </c>
      <c r="R13" s="51"/>
    </row>
    <row r="14" customFormat="false" ht="15" hidden="false" customHeight="false" outlineLevel="0" collapsed="false">
      <c r="A14" s="21" t="s">
        <v>52</v>
      </c>
      <c r="B14" s="18" t="s">
        <v>53</v>
      </c>
      <c r="C14" s="18" t="s">
        <v>192</v>
      </c>
      <c r="D14" s="48" t="n">
        <v>0</v>
      </c>
      <c r="E14" s="49" t="n">
        <v>0</v>
      </c>
      <c r="F14" s="50" t="n">
        <v>3.9734375</v>
      </c>
      <c r="G14" s="50" t="n">
        <v>3.9734375</v>
      </c>
      <c r="H14" s="50" t="n">
        <v>3.9734375</v>
      </c>
      <c r="I14" s="50" t="n">
        <v>4.80218805236412</v>
      </c>
      <c r="J14" s="50" t="n">
        <v>5.7468232158639</v>
      </c>
      <c r="K14" s="50" t="n">
        <v>6.73008658307556</v>
      </c>
      <c r="L14" s="50" t="n">
        <v>7.55883713543969</v>
      </c>
      <c r="M14" s="50" t="n">
        <v>8.54210050265135</v>
      </c>
      <c r="N14" s="50" t="n">
        <v>9.37085105501547</v>
      </c>
      <c r="O14" s="50" t="n">
        <v>10.1996016073796</v>
      </c>
      <c r="P14" s="50" t="n">
        <v>11.0283521597437</v>
      </c>
      <c r="Q14" s="50" t="n">
        <v>11.8571027121078</v>
      </c>
      <c r="R14" s="51"/>
    </row>
    <row r="15" customFormat="false" ht="15" hidden="false" customHeight="false" outlineLevel="0" collapsed="false">
      <c r="A15" s="21" t="s">
        <v>52</v>
      </c>
      <c r="B15" s="18" t="s">
        <v>193</v>
      </c>
      <c r="C15" s="18" t="s">
        <v>192</v>
      </c>
      <c r="D15" s="48" t="n">
        <v>0.06</v>
      </c>
      <c r="E15" s="49" t="n">
        <v>0</v>
      </c>
      <c r="F15" s="50" t="n">
        <v>4.0625</v>
      </c>
      <c r="G15" s="50" t="n">
        <v>4.0625</v>
      </c>
      <c r="H15" s="50" t="n">
        <v>4.0625</v>
      </c>
      <c r="I15" s="50" t="n">
        <v>4.88900862068966</v>
      </c>
      <c r="J15" s="50" t="n">
        <v>6.12176724137931</v>
      </c>
      <c r="K15" s="50" t="n">
        <v>6.94827586206897</v>
      </c>
      <c r="L15" s="50" t="n">
        <v>7.77478448275862</v>
      </c>
      <c r="M15" s="50" t="n">
        <v>9.16163793103448</v>
      </c>
      <c r="N15" s="50" t="n">
        <v>9.98814655172414</v>
      </c>
      <c r="O15" s="50" t="n">
        <v>10.8146551724138</v>
      </c>
      <c r="P15" s="50" t="n">
        <v>11.6411637931035</v>
      </c>
      <c r="Q15" s="50" t="n">
        <v>12.4676724137931</v>
      </c>
      <c r="R15" s="51"/>
    </row>
    <row r="16" customFormat="false" ht="15" hidden="false" customHeight="false" outlineLevel="0" collapsed="false">
      <c r="A16" s="21" t="s">
        <v>54</v>
      </c>
      <c r="B16" s="18" t="s">
        <v>55</v>
      </c>
      <c r="C16" s="18" t="s">
        <v>194</v>
      </c>
      <c r="D16" s="48" t="n">
        <v>0.07</v>
      </c>
      <c r="E16" s="49" t="n">
        <v>0</v>
      </c>
      <c r="F16" s="50" t="n">
        <v>5.425</v>
      </c>
      <c r="G16" s="50" t="n">
        <v>5.425</v>
      </c>
      <c r="H16" s="50" t="n">
        <v>5.425</v>
      </c>
      <c r="I16" s="50" t="n">
        <v>7.64122807017544</v>
      </c>
      <c r="J16" s="50" t="n">
        <v>9.85745614035088</v>
      </c>
      <c r="K16" s="50" t="n">
        <v>12.0736842105263</v>
      </c>
      <c r="L16" s="50" t="n">
        <v>14.2899122807018</v>
      </c>
      <c r="M16" s="50" t="n">
        <v>16.6811951754386</v>
      </c>
      <c r="N16" s="50" t="n">
        <v>18.897423245614</v>
      </c>
      <c r="O16" s="50" t="n">
        <v>21.1136513157895</v>
      </c>
      <c r="P16" s="50" t="n">
        <v>23.3298793859649</v>
      </c>
      <c r="Q16" s="50" t="n">
        <v>25.5461074561404</v>
      </c>
      <c r="R16" s="51"/>
    </row>
    <row r="17" customFormat="false" ht="15" hidden="false" customHeight="false" outlineLevel="0" collapsed="false">
      <c r="A17" s="21" t="s">
        <v>56</v>
      </c>
      <c r="B17" s="18" t="s">
        <v>195</v>
      </c>
      <c r="C17" s="18" t="s">
        <v>192</v>
      </c>
      <c r="D17" s="48" t="n">
        <v>0.13</v>
      </c>
      <c r="E17" s="49" t="n">
        <v>0</v>
      </c>
      <c r="F17" s="50" t="n">
        <v>5.83125</v>
      </c>
      <c r="G17" s="50" t="n">
        <v>5.83125</v>
      </c>
      <c r="H17" s="50" t="n">
        <v>5.83125</v>
      </c>
      <c r="I17" s="50" t="n">
        <v>8.09482908458864</v>
      </c>
      <c r="J17" s="50" t="n">
        <v>10.3719220741599</v>
      </c>
      <c r="K17" s="50" t="n">
        <v>12.6355011587486</v>
      </c>
      <c r="L17" s="50" t="n">
        <v>14.8990802433372</v>
      </c>
      <c r="M17" s="50" t="n">
        <v>17.2707705677868</v>
      </c>
      <c r="N17" s="50" t="n">
        <v>19.5343496523754</v>
      </c>
      <c r="O17" s="50" t="n">
        <v>21.7979287369641</v>
      </c>
      <c r="P17" s="50" t="n">
        <v>24.0615078215527</v>
      </c>
      <c r="Q17" s="50" t="n">
        <v>26.3250869061414</v>
      </c>
      <c r="R17" s="51"/>
    </row>
    <row r="18" customFormat="false" ht="15" hidden="false" customHeight="false" outlineLevel="0" collapsed="false">
      <c r="A18" s="21" t="s">
        <v>56</v>
      </c>
      <c r="B18" s="18" t="s">
        <v>57</v>
      </c>
      <c r="C18" s="18" t="s">
        <v>192</v>
      </c>
      <c r="D18" s="48" t="n">
        <v>0</v>
      </c>
      <c r="E18" s="49" t="n">
        <v>0</v>
      </c>
      <c r="F18" s="50" t="n">
        <v>4.9</v>
      </c>
      <c r="G18" s="50" t="n">
        <v>4.9</v>
      </c>
      <c r="H18" s="50" t="n">
        <v>4.9</v>
      </c>
      <c r="I18" s="50" t="n">
        <v>6.42352941176471</v>
      </c>
      <c r="J18" s="50" t="n">
        <v>7.94705882352941</v>
      </c>
      <c r="K18" s="50" t="n">
        <v>9.47058823529412</v>
      </c>
      <c r="L18" s="50" t="n">
        <v>10.9941176470588</v>
      </c>
      <c r="M18" s="50" t="n">
        <v>12.5176470588235</v>
      </c>
      <c r="N18" s="50" t="n">
        <v>14.0411764705882</v>
      </c>
      <c r="O18" s="50" t="n">
        <v>15.5647058823529</v>
      </c>
      <c r="P18" s="50" t="n">
        <v>17.0882352941177</v>
      </c>
      <c r="Q18" s="50" t="n">
        <v>18.6117647058824</v>
      </c>
      <c r="R18" s="51"/>
    </row>
    <row r="19" customFormat="false" ht="15" hidden="false" customHeight="false" outlineLevel="0" collapsed="false">
      <c r="A19" s="21" t="s">
        <v>58</v>
      </c>
      <c r="B19" s="18" t="s">
        <v>59</v>
      </c>
      <c r="C19" s="18" t="s">
        <v>192</v>
      </c>
      <c r="D19" s="48" t="n">
        <v>0.05</v>
      </c>
      <c r="E19" s="49" t="n">
        <v>0</v>
      </c>
      <c r="F19" s="50" t="n">
        <v>4.7875</v>
      </c>
      <c r="G19" s="50" t="n">
        <v>4.7875</v>
      </c>
      <c r="H19" s="50" t="n">
        <v>4.7875</v>
      </c>
      <c r="I19" s="50" t="n">
        <v>6.39709051724138</v>
      </c>
      <c r="J19" s="50" t="n">
        <v>8.08922413793103</v>
      </c>
      <c r="K19" s="50" t="n">
        <v>9.64378591954023</v>
      </c>
      <c r="L19" s="50" t="n">
        <v>11.1983477011494</v>
      </c>
      <c r="M19" s="50" t="n">
        <v>12.9730244252874</v>
      </c>
      <c r="N19" s="50" t="n">
        <v>14.5275862068966</v>
      </c>
      <c r="O19" s="50" t="n">
        <v>16.0821479885058</v>
      </c>
      <c r="P19" s="50" t="n">
        <v>17.636709770115</v>
      </c>
      <c r="Q19" s="50" t="n">
        <v>19.1912715517241</v>
      </c>
      <c r="R19" s="51"/>
    </row>
    <row r="20" customFormat="false" ht="15" hidden="false" customHeight="false" outlineLevel="0" collapsed="false">
      <c r="A20" s="21" t="s">
        <v>58</v>
      </c>
      <c r="B20" s="18" t="s">
        <v>196</v>
      </c>
      <c r="C20" s="18" t="s">
        <v>192</v>
      </c>
      <c r="D20" s="48" t="n">
        <v>0</v>
      </c>
      <c r="E20" s="49" t="n">
        <v>0.05</v>
      </c>
      <c r="F20" s="50" t="n">
        <v>5.09375</v>
      </c>
      <c r="G20" s="50" t="n">
        <v>5.09375</v>
      </c>
      <c r="H20" s="50" t="n">
        <v>5.09375</v>
      </c>
      <c r="I20" s="50" t="n">
        <v>6.64580536912752</v>
      </c>
      <c r="J20" s="50" t="n">
        <v>8.67646812080537</v>
      </c>
      <c r="K20" s="50" t="n">
        <v>10.7618288590604</v>
      </c>
      <c r="L20" s="50" t="n">
        <v>12.3138842281879</v>
      </c>
      <c r="M20" s="50" t="n">
        <v>14.1531040268456</v>
      </c>
      <c r="N20" s="50" t="n">
        <v>15.7051593959732</v>
      </c>
      <c r="O20" s="50" t="n">
        <v>17.2572147651007</v>
      </c>
      <c r="P20" s="50" t="n">
        <v>18.8092701342282</v>
      </c>
      <c r="Q20" s="50" t="n">
        <v>20.3613255033557</v>
      </c>
      <c r="R20" s="51"/>
    </row>
    <row r="21" customFormat="false" ht="15" hidden="false" customHeight="false" outlineLevel="0" collapsed="false">
      <c r="A21" s="21" t="s">
        <v>60</v>
      </c>
      <c r="B21" s="18" t="s">
        <v>197</v>
      </c>
      <c r="C21" s="18" t="s">
        <v>194</v>
      </c>
      <c r="D21" s="48" t="n">
        <v>0.05</v>
      </c>
      <c r="E21" s="49" t="n">
        <v>0.1</v>
      </c>
      <c r="F21" s="50" t="n">
        <v>6.125</v>
      </c>
      <c r="G21" s="50" t="n">
        <v>6.125</v>
      </c>
      <c r="H21" s="50" t="n">
        <v>6.125</v>
      </c>
      <c r="I21" s="50" t="n">
        <v>7.47115384615385</v>
      </c>
      <c r="J21" s="50" t="n">
        <v>9.30192307692308</v>
      </c>
      <c r="K21" s="50" t="n">
        <v>11.0788461538462</v>
      </c>
      <c r="L21" s="50" t="n">
        <v>12.425</v>
      </c>
      <c r="M21" s="50" t="n">
        <v>15.0634615384615</v>
      </c>
      <c r="N21" s="50" t="n">
        <v>16.4096153846154</v>
      </c>
      <c r="O21" s="50" t="n">
        <v>17.7557692307692</v>
      </c>
      <c r="P21" s="50" t="n">
        <v>19.1019230769231</v>
      </c>
      <c r="Q21" s="50" t="n">
        <v>20.4480769230769</v>
      </c>
      <c r="R21" s="51"/>
    </row>
    <row r="22" customFormat="false" ht="15" hidden="false" customHeight="false" outlineLevel="0" collapsed="false">
      <c r="A22" s="21" t="s">
        <v>60</v>
      </c>
      <c r="B22" s="18" t="s">
        <v>61</v>
      </c>
      <c r="C22" s="18" t="s">
        <v>194</v>
      </c>
      <c r="D22" s="48" t="n">
        <v>0</v>
      </c>
      <c r="E22" s="49" t="n">
        <v>0.05</v>
      </c>
      <c r="F22" s="50" t="n">
        <v>4.8</v>
      </c>
      <c r="G22" s="50" t="n">
        <v>4.8</v>
      </c>
      <c r="H22" s="50" t="n">
        <v>4.8</v>
      </c>
      <c r="I22" s="50" t="n">
        <v>6.25787965616046</v>
      </c>
      <c r="J22" s="50" t="n">
        <v>7.81203438395415</v>
      </c>
      <c r="K22" s="50" t="n">
        <v>9.18739255014327</v>
      </c>
      <c r="L22" s="50" t="n">
        <v>10.5627507163324</v>
      </c>
      <c r="M22" s="50" t="n">
        <v>12.1031518624642</v>
      </c>
      <c r="N22" s="50" t="n">
        <v>13.4785100286533</v>
      </c>
      <c r="O22" s="50" t="n">
        <v>14.8538681948424</v>
      </c>
      <c r="P22" s="50" t="n">
        <v>16.2292263610315</v>
      </c>
      <c r="Q22" s="50" t="n">
        <v>17.6045845272206</v>
      </c>
      <c r="R22" s="51" t="s">
        <v>198</v>
      </c>
    </row>
    <row r="23" customFormat="false" ht="15" hidden="false" customHeight="false" outlineLevel="0" collapsed="false">
      <c r="A23" s="21" t="s">
        <v>60</v>
      </c>
      <c r="B23" s="18" t="s">
        <v>199</v>
      </c>
      <c r="C23" s="18" t="s">
        <v>194</v>
      </c>
      <c r="D23" s="48" t="n">
        <v>0</v>
      </c>
      <c r="E23" s="49" t="n">
        <v>0</v>
      </c>
      <c r="F23" s="50" t="n">
        <v>4.95</v>
      </c>
      <c r="G23" s="50" t="n">
        <v>4.95</v>
      </c>
      <c r="H23" s="50" t="n">
        <v>4.95</v>
      </c>
      <c r="I23" s="50" t="n">
        <v>6.32119113573407</v>
      </c>
      <c r="J23" s="50" t="n">
        <v>7.70609418282549</v>
      </c>
      <c r="K23" s="50" t="n">
        <v>9.11842105263158</v>
      </c>
      <c r="L23" s="50" t="n">
        <v>10.4896121883657</v>
      </c>
      <c r="M23" s="50" t="n">
        <v>12.6835180055402</v>
      </c>
      <c r="N23" s="50" t="n">
        <v>14.0547091412742</v>
      </c>
      <c r="O23" s="50" t="n">
        <v>15.4259002770083</v>
      </c>
      <c r="P23" s="50" t="n">
        <v>16.7970914127424</v>
      </c>
      <c r="Q23" s="50" t="n">
        <v>18.1682825484765</v>
      </c>
      <c r="R23" s="51" t="s">
        <v>200</v>
      </c>
    </row>
    <row r="24" customFormat="false" ht="15" hidden="false" customHeight="false" outlineLevel="0" collapsed="false">
      <c r="A24" s="21" t="s">
        <v>62</v>
      </c>
      <c r="B24" s="18" t="s">
        <v>63</v>
      </c>
      <c r="C24" s="18" t="s">
        <v>194</v>
      </c>
      <c r="D24" s="48" t="n">
        <v>0</v>
      </c>
      <c r="E24" s="49" t="n">
        <v>0</v>
      </c>
      <c r="F24" s="50" t="n">
        <v>4.7</v>
      </c>
      <c r="G24" s="50" t="n">
        <v>4.7</v>
      </c>
      <c r="H24" s="50" t="n">
        <v>4.7</v>
      </c>
      <c r="I24" s="50" t="n">
        <v>6.11964809384164</v>
      </c>
      <c r="J24" s="50" t="n">
        <v>7.49794721407625</v>
      </c>
      <c r="K24" s="50" t="n">
        <v>8.97272727272727</v>
      </c>
      <c r="L24" s="50" t="n">
        <v>10.3510263929619</v>
      </c>
      <c r="M24" s="50" t="n">
        <v>11.7293255131965</v>
      </c>
      <c r="N24" s="50" t="n">
        <v>13.1076246334311</v>
      </c>
      <c r="O24" s="50" t="n">
        <v>14.4859237536657</v>
      </c>
      <c r="P24" s="50" t="n">
        <v>15.8642228739003</v>
      </c>
      <c r="Q24" s="50" t="n">
        <v>17.2425219941349</v>
      </c>
      <c r="R24" s="51"/>
    </row>
    <row r="25" customFormat="false" ht="15" hidden="false" customHeight="false" outlineLevel="0" collapsed="false">
      <c r="A25" s="21" t="s">
        <v>62</v>
      </c>
      <c r="B25" s="18" t="s">
        <v>201</v>
      </c>
      <c r="C25" s="18" t="s">
        <v>194</v>
      </c>
      <c r="D25" s="48" t="n">
        <v>0</v>
      </c>
      <c r="E25" s="49" t="n">
        <v>0</v>
      </c>
      <c r="F25" s="50" t="n">
        <v>4.875</v>
      </c>
      <c r="G25" s="50" t="n">
        <v>4.875</v>
      </c>
      <c r="H25" s="50" t="n">
        <v>4.875</v>
      </c>
      <c r="I25" s="50" t="n">
        <v>6.24823943661972</v>
      </c>
      <c r="J25" s="50" t="n">
        <v>11.3292253521127</v>
      </c>
      <c r="K25" s="50" t="n">
        <v>12.7024647887324</v>
      </c>
      <c r="L25" s="50" t="n">
        <v>14.0757042253521</v>
      </c>
      <c r="M25" s="50" t="n">
        <v>15.4489436619718</v>
      </c>
      <c r="N25" s="50" t="n">
        <v>16.8221830985916</v>
      </c>
      <c r="O25" s="50" t="n">
        <v>18.1954225352113</v>
      </c>
      <c r="P25" s="50" t="n">
        <v>19.568661971831</v>
      </c>
      <c r="Q25" s="50" t="n">
        <v>20.9419014084507</v>
      </c>
      <c r="R25" s="51"/>
    </row>
    <row r="26" customFormat="false" ht="15" hidden="false" customHeight="false" outlineLevel="0" collapsed="false">
      <c r="A26" s="21" t="s">
        <v>64</v>
      </c>
      <c r="B26" s="18" t="s">
        <v>65</v>
      </c>
      <c r="C26" s="18" t="s">
        <v>202</v>
      </c>
      <c r="D26" s="48" t="n">
        <v>0.07</v>
      </c>
      <c r="E26" s="49" t="n">
        <v>0.1</v>
      </c>
      <c r="F26" s="50" t="n">
        <v>6.625</v>
      </c>
      <c r="G26" s="50" t="n">
        <v>6.625</v>
      </c>
      <c r="H26" s="50" t="n">
        <v>6.625</v>
      </c>
      <c r="I26" s="50" t="n">
        <v>8.49873737373738</v>
      </c>
      <c r="J26" s="50" t="n">
        <v>10.9078282828283</v>
      </c>
      <c r="K26" s="50" t="n">
        <v>12.6477272727273</v>
      </c>
      <c r="L26" s="50" t="n">
        <v>14.3876262626263</v>
      </c>
      <c r="M26" s="50" t="n">
        <v>17.5997474747475</v>
      </c>
      <c r="N26" s="50" t="n">
        <v>19.3396464646465</v>
      </c>
      <c r="O26" s="50" t="n">
        <v>21.0795454545455</v>
      </c>
      <c r="P26" s="50" t="n">
        <v>22.8194444444445</v>
      </c>
      <c r="Q26" s="50" t="n">
        <v>24.5593434343434</v>
      </c>
      <c r="R26" s="51" t="s">
        <v>203</v>
      </c>
    </row>
    <row r="27" customFormat="false" ht="15" hidden="false" customHeight="false" outlineLevel="0" collapsed="false">
      <c r="A27" s="21" t="s">
        <v>66</v>
      </c>
      <c r="B27" s="18" t="s">
        <v>67</v>
      </c>
      <c r="C27" s="18" t="s">
        <v>204</v>
      </c>
      <c r="D27" s="48" t="n">
        <v>0.06</v>
      </c>
      <c r="E27" s="49" t="n">
        <v>0.1</v>
      </c>
      <c r="F27" s="50" t="n">
        <v>6.4125</v>
      </c>
      <c r="G27" s="50" t="n">
        <v>6.4125</v>
      </c>
      <c r="H27" s="50" t="n">
        <v>6.4125</v>
      </c>
      <c r="I27" s="50" t="n">
        <v>8.30405334728034</v>
      </c>
      <c r="J27" s="50" t="n">
        <v>10.1956066945607</v>
      </c>
      <c r="K27" s="50" t="n">
        <v>13.1335512552301</v>
      </c>
      <c r="L27" s="50" t="n">
        <v>15.0251046025105</v>
      </c>
      <c r="M27" s="50" t="n">
        <v>16.9166579497908</v>
      </c>
      <c r="N27" s="50" t="n">
        <v>18.8082112970711</v>
      </c>
      <c r="O27" s="50" t="n">
        <v>20.6997646443515</v>
      </c>
      <c r="P27" s="50" t="n">
        <v>22.5913179916318</v>
      </c>
      <c r="Q27" s="50" t="n">
        <v>24.4828713389121</v>
      </c>
      <c r="R27" s="51"/>
    </row>
    <row r="28" customFormat="false" ht="15" hidden="false" customHeight="false" outlineLevel="0" collapsed="false">
      <c r="A28" s="21" t="s">
        <v>68</v>
      </c>
      <c r="B28" s="18" t="s">
        <v>69</v>
      </c>
      <c r="C28" s="18" t="s">
        <v>204</v>
      </c>
      <c r="D28" s="48" t="n">
        <v>0</v>
      </c>
      <c r="E28" s="49" t="n">
        <v>0</v>
      </c>
      <c r="F28" s="50" t="n">
        <v>5.94669117647059</v>
      </c>
      <c r="G28" s="50" t="n">
        <v>6.3629794009696</v>
      </c>
      <c r="H28" s="50" t="n">
        <v>7.12809255333765</v>
      </c>
      <c r="I28" s="50" t="n">
        <v>8.81467496908673</v>
      </c>
      <c r="J28" s="50" t="n">
        <v>10.7393631376475</v>
      </c>
      <c r="K28" s="50" t="n">
        <v>12.5799206068814</v>
      </c>
      <c r="L28" s="50" t="n">
        <v>14.3347600051031</v>
      </c>
      <c r="M28" s="50" t="n">
        <v>15.9689591552337</v>
      </c>
      <c r="N28" s="50" t="n">
        <v>17.4317221633398</v>
      </c>
      <c r="O28" s="50" t="n">
        <v>18.894485171446</v>
      </c>
      <c r="P28" s="50" t="n">
        <v>20.3572481795521</v>
      </c>
      <c r="Q28" s="50" t="n">
        <v>21.8200111876583</v>
      </c>
      <c r="R28" s="51"/>
    </row>
    <row r="29" customFormat="false" ht="15" hidden="false" customHeight="false" outlineLevel="0" collapsed="false">
      <c r="A29" s="21" t="s">
        <v>70</v>
      </c>
      <c r="B29" s="18" t="s">
        <v>71</v>
      </c>
      <c r="C29" s="18" t="s">
        <v>205</v>
      </c>
      <c r="D29" s="48" t="n">
        <v>0</v>
      </c>
      <c r="E29" s="49" t="n">
        <v>0</v>
      </c>
      <c r="F29" s="50" t="n">
        <v>7.725</v>
      </c>
      <c r="G29" s="50" t="n">
        <v>7.725</v>
      </c>
      <c r="H29" s="50" t="n">
        <v>7.725</v>
      </c>
      <c r="I29" s="50" t="n">
        <v>10.5473413379074</v>
      </c>
      <c r="J29" s="50" t="n">
        <v>14.1647084048028</v>
      </c>
      <c r="K29" s="50" t="n">
        <v>16.9870497427101</v>
      </c>
      <c r="L29" s="50" t="n">
        <v>19.8093910806175</v>
      </c>
      <c r="M29" s="50" t="n">
        <v>23.6917667238422</v>
      </c>
      <c r="N29" s="50" t="n">
        <v>26.5141080617496</v>
      </c>
      <c r="O29" s="50" t="n">
        <v>29.336449399657</v>
      </c>
      <c r="P29" s="50" t="n">
        <v>32.1587907375643</v>
      </c>
      <c r="Q29" s="50" t="n">
        <v>34.9811320754717</v>
      </c>
      <c r="R29" s="51"/>
    </row>
    <row r="30" customFormat="false" ht="15" hidden="false" customHeight="false" outlineLevel="0" collapsed="false">
      <c r="A30" s="21" t="s">
        <v>72</v>
      </c>
      <c r="B30" s="18" t="s">
        <v>71</v>
      </c>
      <c r="C30" s="18" t="s">
        <v>205</v>
      </c>
      <c r="D30" s="48" t="n">
        <v>0</v>
      </c>
      <c r="E30" s="49" t="n">
        <v>0</v>
      </c>
      <c r="F30" s="50" t="n">
        <v>8.1</v>
      </c>
      <c r="G30" s="50" t="n">
        <v>8.1</v>
      </c>
      <c r="H30" s="50" t="n">
        <v>8.1</v>
      </c>
      <c r="I30" s="50" t="n">
        <v>10.9145187601958</v>
      </c>
      <c r="J30" s="50" t="n">
        <v>15.3146818923328</v>
      </c>
      <c r="K30" s="50" t="n">
        <v>18.1292006525286</v>
      </c>
      <c r="L30" s="50" t="n">
        <v>20.9437194127243</v>
      </c>
      <c r="M30" s="50" t="n">
        <v>24.5510603588907</v>
      </c>
      <c r="N30" s="50" t="n">
        <v>27.3655791190865</v>
      </c>
      <c r="O30" s="50" t="n">
        <v>30.1800978792822</v>
      </c>
      <c r="P30" s="50" t="n">
        <v>32.994616639478</v>
      </c>
      <c r="Q30" s="50" t="n">
        <v>35.8091353996737</v>
      </c>
      <c r="R30" s="51"/>
    </row>
    <row r="31" customFormat="false" ht="15" hidden="false" customHeight="false" outlineLevel="0" collapsed="false">
      <c r="A31" s="21" t="s">
        <v>73</v>
      </c>
      <c r="B31" s="18" t="s">
        <v>71</v>
      </c>
      <c r="C31" s="18" t="s">
        <v>205</v>
      </c>
      <c r="D31" s="48" t="n">
        <v>0</v>
      </c>
      <c r="E31" s="49" t="n">
        <v>0</v>
      </c>
      <c r="F31" s="50" t="n">
        <v>9.85</v>
      </c>
      <c r="G31" s="50" t="n">
        <v>9.85</v>
      </c>
      <c r="H31" s="50" t="n">
        <v>9.85</v>
      </c>
      <c r="I31" s="50" t="n">
        <v>12.6362549800797</v>
      </c>
      <c r="J31" s="50" t="n">
        <v>16.2073705179283</v>
      </c>
      <c r="K31" s="50" t="n">
        <v>18.993625498008</v>
      </c>
      <c r="L31" s="50" t="n">
        <v>21.7798804780877</v>
      </c>
      <c r="M31" s="50" t="n">
        <v>26.1358565737052</v>
      </c>
      <c r="N31" s="50" t="n">
        <v>28.9221115537849</v>
      </c>
      <c r="O31" s="50" t="n">
        <v>31.7083665338645</v>
      </c>
      <c r="P31" s="50" t="n">
        <v>34.4946215139442</v>
      </c>
      <c r="Q31" s="50" t="n">
        <v>37.2808764940239</v>
      </c>
      <c r="R31" s="51"/>
    </row>
    <row r="32" customFormat="false" ht="15" hidden="false" customHeight="false" outlineLevel="0" collapsed="false">
      <c r="A32" s="21" t="s">
        <v>74</v>
      </c>
      <c r="B32" s="18" t="s">
        <v>75</v>
      </c>
      <c r="C32" s="18" t="s">
        <v>206</v>
      </c>
      <c r="D32" s="48" t="n">
        <v>0</v>
      </c>
      <c r="E32" s="49" t="n">
        <v>0</v>
      </c>
      <c r="F32" s="50" t="n">
        <v>7.7</v>
      </c>
      <c r="G32" s="50" t="n">
        <v>7.9625</v>
      </c>
      <c r="H32" s="50" t="n">
        <v>8.5</v>
      </c>
      <c r="I32" s="50" t="n">
        <v>9.5875</v>
      </c>
      <c r="J32" s="50" t="n">
        <v>10.6625</v>
      </c>
      <c r="K32" s="50" t="n">
        <v>11.7375</v>
      </c>
      <c r="L32" s="50" t="n">
        <v>12.825</v>
      </c>
      <c r="M32" s="50" t="n">
        <v>13.9</v>
      </c>
      <c r="N32" s="50" t="n">
        <v>14.975</v>
      </c>
      <c r="O32" s="50" t="n">
        <v>16.0625</v>
      </c>
      <c r="P32" s="50" t="n">
        <v>17.1375</v>
      </c>
      <c r="Q32" s="50" t="n">
        <v>18.225</v>
      </c>
      <c r="R32" s="51"/>
    </row>
    <row r="33" customFormat="false" ht="15" hidden="false" customHeight="false" outlineLevel="0" collapsed="false">
      <c r="A33" s="21" t="s">
        <v>76</v>
      </c>
      <c r="B33" s="18" t="s">
        <v>77</v>
      </c>
      <c r="C33" s="18" t="s">
        <v>207</v>
      </c>
      <c r="D33" s="48" t="n">
        <v>0</v>
      </c>
      <c r="E33" s="49" t="n">
        <v>0</v>
      </c>
      <c r="F33" s="50" t="n">
        <v>6.95</v>
      </c>
      <c r="G33" s="50" t="n">
        <v>7.525</v>
      </c>
      <c r="H33" s="50" t="n">
        <v>8.6875</v>
      </c>
      <c r="I33" s="50" t="n">
        <v>11.0125</v>
      </c>
      <c r="J33" s="50" t="n">
        <v>23.275</v>
      </c>
      <c r="K33" s="50" t="n">
        <v>24.325</v>
      </c>
      <c r="L33" s="50" t="n">
        <v>25.3625</v>
      </c>
      <c r="M33" s="50" t="n">
        <v>31.975</v>
      </c>
      <c r="N33" s="50" t="n">
        <v>33.025</v>
      </c>
      <c r="O33" s="50" t="n">
        <v>34.075</v>
      </c>
      <c r="P33" s="50" t="n">
        <v>35.1125</v>
      </c>
      <c r="Q33" s="50" t="n">
        <v>36.1625</v>
      </c>
      <c r="R33" s="51"/>
    </row>
    <row r="34" customFormat="false" ht="15" hidden="false" customHeight="false" outlineLevel="0" collapsed="false">
      <c r="A34" s="21" t="s">
        <v>78</v>
      </c>
      <c r="B34" s="18" t="s">
        <v>75</v>
      </c>
      <c r="C34" s="18" t="s">
        <v>206</v>
      </c>
      <c r="D34" s="48" t="n">
        <v>0</v>
      </c>
      <c r="E34" s="49" t="n">
        <v>0</v>
      </c>
      <c r="F34" s="50" t="n">
        <v>7.4125</v>
      </c>
      <c r="G34" s="50" t="n">
        <v>7.6875</v>
      </c>
      <c r="H34" s="50" t="n">
        <v>8.225</v>
      </c>
      <c r="I34" s="50" t="n">
        <v>9.3125</v>
      </c>
      <c r="J34" s="50" t="n">
        <v>10.4</v>
      </c>
      <c r="K34" s="50" t="n">
        <v>11.4875</v>
      </c>
      <c r="L34" s="50" t="n">
        <v>12.5625</v>
      </c>
      <c r="M34" s="50" t="n">
        <v>13.65</v>
      </c>
      <c r="N34" s="50" t="n">
        <v>14.7375</v>
      </c>
      <c r="O34" s="50" t="n">
        <v>15.825</v>
      </c>
      <c r="P34" s="50" t="n">
        <v>16.9125</v>
      </c>
      <c r="Q34" s="50" t="n">
        <v>17.9875</v>
      </c>
      <c r="R34" s="51"/>
    </row>
    <row r="35" customFormat="false" ht="15" hidden="false" customHeight="false" outlineLevel="0" collapsed="false">
      <c r="A35" s="21" t="s">
        <v>79</v>
      </c>
      <c r="B35" s="18" t="s">
        <v>75</v>
      </c>
      <c r="C35" s="18" t="s">
        <v>206</v>
      </c>
      <c r="D35" s="48" t="n">
        <v>0</v>
      </c>
      <c r="E35" s="49" t="n">
        <v>0</v>
      </c>
      <c r="F35" s="50" t="n">
        <v>4.9</v>
      </c>
      <c r="G35" s="50" t="n">
        <v>5.55</v>
      </c>
      <c r="H35" s="50" t="n">
        <v>6.8625</v>
      </c>
      <c r="I35" s="50" t="n">
        <v>9.5</v>
      </c>
      <c r="J35" s="50" t="n">
        <v>18.35</v>
      </c>
      <c r="K35" s="50" t="n">
        <v>19.425</v>
      </c>
      <c r="L35" s="50" t="n">
        <v>20.5</v>
      </c>
      <c r="M35" s="50" t="n">
        <v>24.0375</v>
      </c>
      <c r="N35" s="50" t="n">
        <v>25.1125</v>
      </c>
      <c r="O35" s="50" t="n">
        <v>26.1875</v>
      </c>
      <c r="P35" s="50" t="n">
        <v>27.2625</v>
      </c>
      <c r="Q35" s="50" t="n">
        <v>28.3375</v>
      </c>
      <c r="R35" s="51"/>
    </row>
    <row r="36" customFormat="false" ht="15" hidden="false" customHeight="false" outlineLevel="0" collapsed="false">
      <c r="A36" s="21" t="s">
        <v>80</v>
      </c>
      <c r="B36" s="18" t="s">
        <v>77</v>
      </c>
      <c r="C36" s="18" t="s">
        <v>207</v>
      </c>
      <c r="D36" s="48" t="n">
        <v>0</v>
      </c>
      <c r="E36" s="49" t="n">
        <v>0</v>
      </c>
      <c r="F36" s="50" t="n">
        <v>5.7875</v>
      </c>
      <c r="G36" s="50" t="n">
        <v>6.9</v>
      </c>
      <c r="H36" s="50" t="n">
        <v>9.1125</v>
      </c>
      <c r="I36" s="50" t="n">
        <v>13.5375</v>
      </c>
      <c r="J36" s="50" t="n">
        <v>30.5</v>
      </c>
      <c r="K36" s="50" t="n">
        <v>31.5625</v>
      </c>
      <c r="L36" s="50" t="n">
        <v>32.625</v>
      </c>
      <c r="M36" s="50" t="n">
        <v>40.35</v>
      </c>
      <c r="N36" s="50" t="n">
        <v>41.4125</v>
      </c>
      <c r="O36" s="50" t="n">
        <v>42.475</v>
      </c>
      <c r="P36" s="50" t="n">
        <v>43.5375</v>
      </c>
      <c r="Q36" s="50" t="n">
        <v>44.6</v>
      </c>
      <c r="R36" s="51"/>
    </row>
    <row r="37" customFormat="false" ht="15" hidden="false" customHeight="false" outlineLevel="0" collapsed="false">
      <c r="A37" s="21" t="s">
        <v>81</v>
      </c>
      <c r="B37" s="18" t="s">
        <v>82</v>
      </c>
      <c r="C37" s="18" t="s">
        <v>207</v>
      </c>
      <c r="D37" s="48" t="n">
        <v>0</v>
      </c>
      <c r="E37" s="49" t="n">
        <v>0</v>
      </c>
      <c r="F37" s="50" t="n">
        <v>13.0125</v>
      </c>
      <c r="G37" s="50" t="n">
        <v>13.275</v>
      </c>
      <c r="H37" s="50" t="n">
        <v>13.8</v>
      </c>
      <c r="I37" s="50" t="n">
        <v>14.85</v>
      </c>
      <c r="J37" s="50" t="n">
        <v>18.85</v>
      </c>
      <c r="K37" s="50" t="n">
        <v>19.9</v>
      </c>
      <c r="L37" s="50" t="n">
        <v>20.9625</v>
      </c>
      <c r="M37" s="50" t="n">
        <v>27.575</v>
      </c>
      <c r="N37" s="50" t="n">
        <v>28.625</v>
      </c>
      <c r="O37" s="50" t="n">
        <v>29.6875</v>
      </c>
      <c r="P37" s="50" t="n">
        <v>30.7375</v>
      </c>
      <c r="Q37" s="50" t="n">
        <v>31.7875</v>
      </c>
      <c r="R37" s="51"/>
    </row>
    <row r="38" customFormat="false" ht="15" hidden="false" customHeight="false" outlineLevel="0" collapsed="false">
      <c r="A38" s="21" t="s">
        <v>83</v>
      </c>
      <c r="B38" s="18" t="s">
        <v>84</v>
      </c>
      <c r="C38" s="18" t="s">
        <v>206</v>
      </c>
      <c r="D38" s="48" t="n">
        <v>0</v>
      </c>
      <c r="E38" s="49" t="n">
        <v>0</v>
      </c>
      <c r="F38" s="50" t="n">
        <v>6.75</v>
      </c>
      <c r="G38" s="50" t="n">
        <v>7.9125</v>
      </c>
      <c r="H38" s="50" t="n">
        <v>9.1625</v>
      </c>
      <c r="I38" s="50" t="n">
        <v>11.5125</v>
      </c>
      <c r="J38" s="50" t="n">
        <v>13.525</v>
      </c>
      <c r="K38" s="50" t="n">
        <v>15.6125</v>
      </c>
      <c r="L38" s="50" t="n">
        <v>17.9625</v>
      </c>
      <c r="M38" s="50" t="n">
        <v>20.05</v>
      </c>
      <c r="N38" s="50" t="n">
        <v>21.975</v>
      </c>
      <c r="O38" s="50" t="n">
        <v>24.75</v>
      </c>
      <c r="P38" s="50" t="n">
        <v>26.25</v>
      </c>
      <c r="Q38" s="50" t="n">
        <v>27.75</v>
      </c>
      <c r="R38" s="51"/>
    </row>
    <row r="39" customFormat="false" ht="15" hidden="false" customHeight="false" outlineLevel="0" collapsed="false">
      <c r="A39" s="21" t="s">
        <v>85</v>
      </c>
      <c r="B39" s="18" t="s">
        <v>86</v>
      </c>
      <c r="C39" s="18" t="s">
        <v>207</v>
      </c>
      <c r="D39" s="48" t="n">
        <v>0</v>
      </c>
      <c r="E39" s="49" t="n">
        <v>0</v>
      </c>
      <c r="F39" s="50" t="n">
        <v>7.325</v>
      </c>
      <c r="G39" s="50" t="n">
        <v>9.45</v>
      </c>
      <c r="H39" s="50" t="n">
        <v>13.7</v>
      </c>
      <c r="I39" s="50" t="n">
        <v>22.1875</v>
      </c>
      <c r="J39" s="50" t="n">
        <v>26.0625</v>
      </c>
      <c r="K39" s="50" t="n">
        <v>30.5375</v>
      </c>
      <c r="L39" s="50" t="n">
        <v>35.025</v>
      </c>
      <c r="M39" s="50" t="n">
        <v>39.5125</v>
      </c>
      <c r="N39" s="50" t="n">
        <v>43.9875</v>
      </c>
      <c r="O39" s="50" t="n">
        <v>48.475</v>
      </c>
      <c r="P39" s="50" t="n">
        <v>52.9625</v>
      </c>
      <c r="Q39" s="50" t="n">
        <v>57.4375</v>
      </c>
      <c r="R39" s="51"/>
    </row>
    <row r="40" customFormat="false" ht="15" hidden="false" customHeight="false" outlineLevel="0" collapsed="false">
      <c r="A40" s="21" t="s">
        <v>87</v>
      </c>
      <c r="B40" s="18" t="s">
        <v>88</v>
      </c>
      <c r="C40" s="18" t="s">
        <v>208</v>
      </c>
      <c r="D40" s="48" t="n">
        <v>0</v>
      </c>
      <c r="E40" s="49" t="n">
        <v>0</v>
      </c>
      <c r="F40" s="50" t="n">
        <v>6.5625</v>
      </c>
      <c r="G40" s="50" t="n">
        <v>7.3</v>
      </c>
      <c r="H40" s="50" t="n">
        <v>8.7625</v>
      </c>
      <c r="I40" s="50" t="n">
        <v>12.15</v>
      </c>
      <c r="J40" s="50" t="n">
        <v>15.4375</v>
      </c>
      <c r="K40" s="50" t="n">
        <v>18.7125</v>
      </c>
      <c r="L40" s="50" t="n">
        <v>22</v>
      </c>
      <c r="M40" s="50" t="n">
        <v>26.775</v>
      </c>
      <c r="N40" s="50" t="n">
        <v>29.7</v>
      </c>
      <c r="O40" s="50" t="n">
        <v>32.625</v>
      </c>
      <c r="P40" s="50" t="n">
        <v>35.5375</v>
      </c>
      <c r="Q40" s="50" t="n">
        <v>38.4625</v>
      </c>
      <c r="R40" s="51"/>
    </row>
    <row r="41" customFormat="false" ht="15" hidden="false" customHeight="false" outlineLevel="0" collapsed="false">
      <c r="A41" s="21" t="s">
        <v>89</v>
      </c>
      <c r="B41" s="18" t="s">
        <v>88</v>
      </c>
      <c r="C41" s="18" t="s">
        <v>208</v>
      </c>
      <c r="D41" s="48" t="n">
        <v>0</v>
      </c>
      <c r="E41" s="49" t="n">
        <v>0</v>
      </c>
      <c r="F41" s="50" t="n">
        <v>7.05</v>
      </c>
      <c r="G41" s="50" t="n">
        <v>7.775</v>
      </c>
      <c r="H41" s="50" t="n">
        <v>9.2375</v>
      </c>
      <c r="I41" s="50" t="n">
        <v>12.7375</v>
      </c>
      <c r="J41" s="50" t="n">
        <v>16.225</v>
      </c>
      <c r="K41" s="50" t="n">
        <v>19.725</v>
      </c>
      <c r="L41" s="50" t="n">
        <v>23.2125</v>
      </c>
      <c r="M41" s="50" t="n">
        <v>28.8625</v>
      </c>
      <c r="N41" s="50" t="n">
        <v>31.775</v>
      </c>
      <c r="O41" s="50" t="n">
        <v>34.6875</v>
      </c>
      <c r="P41" s="50" t="n">
        <v>37.5875</v>
      </c>
      <c r="Q41" s="50" t="n">
        <v>40.5</v>
      </c>
      <c r="R41" s="51"/>
    </row>
    <row r="42" customFormat="false" ht="15" hidden="false" customHeight="false" outlineLevel="0" collapsed="false">
      <c r="A42" s="21" t="s">
        <v>90</v>
      </c>
      <c r="B42" s="18" t="s">
        <v>91</v>
      </c>
      <c r="C42" s="18" t="s">
        <v>207</v>
      </c>
      <c r="D42" s="48" t="n">
        <v>0</v>
      </c>
      <c r="E42" s="49" t="n">
        <v>0</v>
      </c>
      <c r="F42" s="50" t="n">
        <v>6.2125</v>
      </c>
      <c r="G42" s="50" t="n">
        <v>6.8625</v>
      </c>
      <c r="H42" s="50" t="n">
        <v>8.15</v>
      </c>
      <c r="I42" s="50" t="n">
        <v>10.7375</v>
      </c>
      <c r="J42" s="50" t="n">
        <v>13.3375</v>
      </c>
      <c r="K42" s="50" t="n">
        <v>15.925</v>
      </c>
      <c r="L42" s="50" t="n">
        <v>18.5125</v>
      </c>
      <c r="M42" s="50" t="n">
        <v>21.1</v>
      </c>
      <c r="N42" s="50" t="n">
        <v>27.0875</v>
      </c>
      <c r="O42" s="50" t="n">
        <v>28.15</v>
      </c>
      <c r="P42" s="50" t="n">
        <v>29.2</v>
      </c>
      <c r="Q42" s="50" t="n">
        <v>30.25</v>
      </c>
      <c r="R42" s="5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16"/>
    <col collapsed="false" customWidth="true" hidden="false" outlineLevel="0" max="4" min="4" style="0" width="11"/>
  </cols>
  <sheetData>
    <row r="1" customFormat="false" ht="16.15" hidden="false" customHeight="false" outlineLevel="0" collapsed="false">
      <c r="A1" s="4" t="s">
        <v>209</v>
      </c>
    </row>
    <row r="2" customFormat="false" ht="15" hidden="false" customHeight="false" outlineLevel="0" collapsed="false">
      <c r="A2" s="5" t="s">
        <v>210</v>
      </c>
    </row>
    <row r="3" customFormat="false" ht="30" hidden="false" customHeight="true" outlineLevel="0" collapsed="false">
      <c r="A3" s="14" t="s">
        <v>38</v>
      </c>
      <c r="B3" s="14" t="s">
        <v>211</v>
      </c>
      <c r="C3" s="14" t="s">
        <v>212</v>
      </c>
      <c r="D3" s="14" t="s">
        <v>213</v>
      </c>
    </row>
    <row r="4" customFormat="false" ht="15" hidden="false" customHeight="false" outlineLevel="0" collapsed="false">
      <c r="A4" s="21" t="s">
        <v>45</v>
      </c>
      <c r="B4" s="48" t="n">
        <v>0.21</v>
      </c>
      <c r="C4" s="11"/>
      <c r="D4" s="52" t="n">
        <f aca="false">IF(ISNUMBER(C4),C4,B4)</f>
        <v>0.21</v>
      </c>
    </row>
    <row r="5" customFormat="false" ht="15" hidden="false" customHeight="false" outlineLevel="0" collapsed="false">
      <c r="A5" s="21" t="s">
        <v>47</v>
      </c>
      <c r="B5" s="48" t="n">
        <v>0.2</v>
      </c>
      <c r="C5" s="11"/>
      <c r="D5" s="52" t="n">
        <f aca="false">IF(ISNUMBER(C5),C5,B5)</f>
        <v>0.2</v>
      </c>
    </row>
    <row r="6" customFormat="false" ht="15" hidden="false" customHeight="false" outlineLevel="0" collapsed="false">
      <c r="A6" s="21" t="s">
        <v>49</v>
      </c>
      <c r="B6" s="48" t="n">
        <v>0.24</v>
      </c>
      <c r="C6" s="11"/>
      <c r="D6" s="52" t="n">
        <f aca="false">IF(ISNUMBER(C6),C6,B6)</f>
        <v>0.24</v>
      </c>
    </row>
    <row r="7" customFormat="false" ht="15" hidden="false" customHeight="false" outlineLevel="0" collapsed="false">
      <c r="A7" s="21" t="s">
        <v>51</v>
      </c>
      <c r="B7" s="48" t="n">
        <v>0.19</v>
      </c>
      <c r="C7" s="11"/>
      <c r="D7" s="52" t="n">
        <f aca="false">IF(ISNUMBER(C7),C7,B7)</f>
        <v>0.19</v>
      </c>
    </row>
    <row r="8" customFormat="false" ht="15" hidden="false" customHeight="false" outlineLevel="0" collapsed="false">
      <c r="A8" s="21" t="s">
        <v>52</v>
      </c>
      <c r="B8" s="48" t="n">
        <v>0.27</v>
      </c>
      <c r="C8" s="11"/>
      <c r="D8" s="52" t="n">
        <f aca="false">IF(ISNUMBER(C8),C8,B8)</f>
        <v>0.27</v>
      </c>
    </row>
    <row r="9" customFormat="false" ht="15" hidden="false" customHeight="false" outlineLevel="0" collapsed="false">
      <c r="A9" s="21" t="s">
        <v>54</v>
      </c>
      <c r="B9" s="48" t="n">
        <v>0.23</v>
      </c>
      <c r="C9" s="11"/>
      <c r="D9" s="52" t="n">
        <f aca="false">IF(ISNUMBER(C9),C9,B9)</f>
        <v>0.23</v>
      </c>
    </row>
    <row r="10" customFormat="false" ht="15" hidden="false" customHeight="false" outlineLevel="0" collapsed="false">
      <c r="A10" s="21" t="s">
        <v>56</v>
      </c>
      <c r="B10" s="48" t="n">
        <v>0.21</v>
      </c>
      <c r="C10" s="11"/>
      <c r="D10" s="52" t="n">
        <f aca="false">IF(ISNUMBER(C10),C10,B10)</f>
        <v>0.21</v>
      </c>
    </row>
    <row r="11" customFormat="false" ht="15" hidden="false" customHeight="false" outlineLevel="0" collapsed="false">
      <c r="A11" s="21" t="s">
        <v>58</v>
      </c>
      <c r="B11" s="48" t="n">
        <v>0.23</v>
      </c>
      <c r="C11" s="11"/>
      <c r="D11" s="52" t="n">
        <f aca="false">IF(ISNUMBER(C11),C11,B11)</f>
        <v>0.23</v>
      </c>
    </row>
    <row r="12" customFormat="false" ht="15" hidden="false" customHeight="false" outlineLevel="0" collapsed="false">
      <c r="A12" s="21" t="s">
        <v>60</v>
      </c>
      <c r="B12" s="48" t="n">
        <v>0.25</v>
      </c>
      <c r="C12" s="11"/>
      <c r="D12" s="52" t="n">
        <f aca="false">IF(ISNUMBER(C12),C12,B12)</f>
        <v>0.25</v>
      </c>
    </row>
    <row r="13" customFormat="false" ht="15" hidden="false" customHeight="false" outlineLevel="0" collapsed="false">
      <c r="A13" s="21" t="s">
        <v>62</v>
      </c>
      <c r="B13" s="48" t="n">
        <v>0.22</v>
      </c>
      <c r="C13" s="11"/>
      <c r="D13" s="52" t="n">
        <f aca="false">IF(ISNUMBER(C13),C13,B13)</f>
        <v>0.22</v>
      </c>
    </row>
    <row r="14" customFormat="false" ht="15" hidden="false" customHeight="false" outlineLevel="0" collapsed="false">
      <c r="A14" s="21" t="s">
        <v>64</v>
      </c>
      <c r="B14" s="48" t="n">
        <v>0.22</v>
      </c>
      <c r="C14" s="11"/>
      <c r="D14" s="52" t="n">
        <f aca="false">IF(ISNUMBER(C14),C14,B14)</f>
        <v>0.22</v>
      </c>
    </row>
    <row r="15" customFormat="false" ht="15" hidden="false" customHeight="false" outlineLevel="0" collapsed="false">
      <c r="A15" s="21" t="s">
        <v>66</v>
      </c>
      <c r="B15" s="48" t="n">
        <v>0.2</v>
      </c>
      <c r="C15" s="11"/>
      <c r="D15" s="52" t="n">
        <f aca="false">IF(ISNUMBER(C15),C15,B15)</f>
        <v>0.2</v>
      </c>
    </row>
    <row r="16" customFormat="false" ht="15" hidden="false" customHeight="false" outlineLevel="0" collapsed="false">
      <c r="A16" s="21" t="s">
        <v>68</v>
      </c>
      <c r="B16" s="48" t="n">
        <v>0.19</v>
      </c>
      <c r="C16" s="11"/>
      <c r="D16" s="52" t="n">
        <f aca="false">IF(ISNUMBER(C16),C16,B16)</f>
        <v>0.19</v>
      </c>
    </row>
    <row r="17" customFormat="false" ht="15" hidden="false" customHeight="false" outlineLevel="0" collapsed="false">
      <c r="A17" s="21" t="s">
        <v>70</v>
      </c>
      <c r="B17" s="48" t="n">
        <v>0.21</v>
      </c>
      <c r="C17" s="11"/>
      <c r="D17" s="52" t="n">
        <f aca="false">IF(ISNUMBER(C17),C17,B17)</f>
        <v>0.21</v>
      </c>
    </row>
    <row r="18" customFormat="false" ht="15" hidden="false" customHeight="false" outlineLevel="0" collapsed="false">
      <c r="A18" s="21" t="s">
        <v>72</v>
      </c>
      <c r="B18" s="48" t="n">
        <v>0.21</v>
      </c>
      <c r="C18" s="11"/>
      <c r="D18" s="52" t="n">
        <f aca="false">IF(ISNUMBER(C18),C18,B18)</f>
        <v>0.21</v>
      </c>
    </row>
    <row r="19" customFormat="false" ht="15" hidden="false" customHeight="false" outlineLevel="0" collapsed="false">
      <c r="A19" s="21" t="s">
        <v>73</v>
      </c>
      <c r="B19" s="48" t="n">
        <v>0.24</v>
      </c>
      <c r="C19" s="11"/>
      <c r="D19" s="52" t="n">
        <f aca="false">IF(ISNUMBER(C19),C19,B19)</f>
        <v>0.24</v>
      </c>
    </row>
    <row r="20" customFormat="false" ht="15" hidden="false" customHeight="false" outlineLevel="0" collapsed="false">
      <c r="A20" s="21" t="s">
        <v>74</v>
      </c>
      <c r="B20" s="48" t="n">
        <v>0.21</v>
      </c>
      <c r="C20" s="11"/>
      <c r="D20" s="52" t="n">
        <f aca="false">IF(ISNUMBER(C20),C20,B20)</f>
        <v>0.21</v>
      </c>
    </row>
    <row r="21" customFormat="false" ht="15" hidden="false" customHeight="false" outlineLevel="0" collapsed="false">
      <c r="A21" s="21" t="s">
        <v>76</v>
      </c>
      <c r="B21" s="48" t="n">
        <v>0.25</v>
      </c>
      <c r="C21" s="11"/>
      <c r="D21" s="52" t="n">
        <f aca="false">IF(ISNUMBER(C21),C21,B21)</f>
        <v>0.25</v>
      </c>
    </row>
    <row r="22" customFormat="false" ht="15" hidden="false" customHeight="false" outlineLevel="0" collapsed="false">
      <c r="A22" s="21" t="s">
        <v>78</v>
      </c>
      <c r="B22" s="48" t="n">
        <v>0.21</v>
      </c>
      <c r="C22" s="11"/>
      <c r="D22" s="52" t="n">
        <f aca="false">IF(ISNUMBER(C22),C22,B22)</f>
        <v>0.21</v>
      </c>
    </row>
    <row r="23" customFormat="false" ht="15" hidden="false" customHeight="false" outlineLevel="0" collapsed="false">
      <c r="A23" s="21" t="s">
        <v>79</v>
      </c>
      <c r="B23" s="48" t="n">
        <v>0.17</v>
      </c>
      <c r="C23" s="11"/>
      <c r="D23" s="52" t="n">
        <f aca="false">IF(ISNUMBER(C23),C23,B23)</f>
        <v>0.17</v>
      </c>
    </row>
    <row r="24" customFormat="false" ht="15" hidden="false" customHeight="false" outlineLevel="0" collapsed="false">
      <c r="A24" s="21" t="s">
        <v>80</v>
      </c>
      <c r="B24" s="48" t="n">
        <v>0.25</v>
      </c>
      <c r="C24" s="11"/>
      <c r="D24" s="52" t="n">
        <f aca="false">IF(ISNUMBER(C24),C24,B24)</f>
        <v>0.25</v>
      </c>
    </row>
    <row r="25" customFormat="false" ht="15" hidden="false" customHeight="false" outlineLevel="0" collapsed="false">
      <c r="A25" s="21" t="s">
        <v>81</v>
      </c>
      <c r="B25" s="48" t="n">
        <v>0.255</v>
      </c>
      <c r="C25" s="11"/>
      <c r="D25" s="52" t="n">
        <f aca="false">IF(ISNUMBER(C25),C25,B25)</f>
        <v>0.255</v>
      </c>
    </row>
    <row r="26" customFormat="false" ht="15" hidden="false" customHeight="false" outlineLevel="0" collapsed="false">
      <c r="A26" s="21" t="s">
        <v>83</v>
      </c>
      <c r="B26" s="48" t="n">
        <v>0.2</v>
      </c>
      <c r="C26" s="11"/>
      <c r="D26" s="52" t="n">
        <f aca="false">IF(ISNUMBER(C26),C26,B26)</f>
        <v>0.2</v>
      </c>
    </row>
    <row r="27" customFormat="false" ht="15" hidden="false" customHeight="false" outlineLevel="0" collapsed="false">
      <c r="A27" s="21" t="s">
        <v>85</v>
      </c>
      <c r="B27" s="48" t="n">
        <v>0.18</v>
      </c>
      <c r="C27" s="11"/>
      <c r="D27" s="52" t="n">
        <f aca="false">IF(ISNUMBER(C27),C27,B27)</f>
        <v>0.18</v>
      </c>
    </row>
    <row r="28" customFormat="false" ht="15" hidden="false" customHeight="false" outlineLevel="0" collapsed="false">
      <c r="A28" s="21" t="s">
        <v>87</v>
      </c>
      <c r="B28" s="48" t="n">
        <v>0.21</v>
      </c>
      <c r="C28" s="11"/>
      <c r="D28" s="52" t="n">
        <f aca="false">IF(ISNUMBER(C28),C28,B28)</f>
        <v>0.21</v>
      </c>
    </row>
    <row r="29" customFormat="false" ht="15" hidden="false" customHeight="false" outlineLevel="0" collapsed="false">
      <c r="A29" s="21" t="s">
        <v>89</v>
      </c>
      <c r="B29" s="48" t="n">
        <v>0.23</v>
      </c>
      <c r="C29" s="11"/>
      <c r="D29" s="52" t="n">
        <f aca="false">IF(ISNUMBER(C29),C29,B29)</f>
        <v>0.23</v>
      </c>
    </row>
    <row r="30" customFormat="false" ht="15" hidden="false" customHeight="false" outlineLevel="0" collapsed="false">
      <c r="A30" s="21" t="s">
        <v>90</v>
      </c>
      <c r="B30" s="48" t="n">
        <v>0.23</v>
      </c>
      <c r="C30" s="11"/>
      <c r="D30" s="52" t="n">
        <f aca="false">IF(ISNUMBER(C30),C30,B30)</f>
        <v>0.23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E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1" min="1" style="0" width="12"/>
  </cols>
  <sheetData>
    <row r="1" customFormat="false" ht="15" hidden="false" customHeight="false" outlineLevel="0" collapsed="false">
      <c r="A1" s="12" t="s">
        <v>214</v>
      </c>
    </row>
    <row r="2" customFormat="false" ht="35.05" hidden="false" customHeight="false" outlineLevel="0" collapsed="false">
      <c r="A2" s="14" t="s">
        <v>38</v>
      </c>
      <c r="B2" s="14" t="s">
        <v>215</v>
      </c>
      <c r="C2" s="14" t="s">
        <v>216</v>
      </c>
      <c r="D2" s="14" t="s">
        <v>98</v>
      </c>
      <c r="E2" s="14" t="s">
        <v>26</v>
      </c>
      <c r="F2" s="14" t="s">
        <v>217</v>
      </c>
      <c r="G2" s="14" t="s">
        <v>100</v>
      </c>
      <c r="H2" s="14" t="s">
        <v>102</v>
      </c>
      <c r="I2" s="14" t="s">
        <v>218</v>
      </c>
      <c r="J2" s="14" t="s">
        <v>219</v>
      </c>
      <c r="K2" s="14" t="s">
        <v>144</v>
      </c>
      <c r="L2" s="14" t="s">
        <v>106</v>
      </c>
      <c r="M2" s="14" t="s">
        <v>220</v>
      </c>
      <c r="N2" s="14" t="s">
        <v>221</v>
      </c>
      <c r="O2" s="14" t="s">
        <v>222</v>
      </c>
      <c r="P2" s="14" t="s">
        <v>223</v>
      </c>
      <c r="Q2" s="14" t="s">
        <v>224</v>
      </c>
      <c r="R2" s="14" t="s">
        <v>225</v>
      </c>
      <c r="S2" s="14" t="s">
        <v>226</v>
      </c>
      <c r="T2" s="14" t="s">
        <v>117</v>
      </c>
      <c r="U2" s="14" t="s">
        <v>115</v>
      </c>
      <c r="V2" s="14" t="s">
        <v>227</v>
      </c>
      <c r="W2" s="14" t="s">
        <v>228</v>
      </c>
      <c r="X2" s="14" t="s">
        <v>44</v>
      </c>
      <c r="Y2" s="14" t="s">
        <v>121</v>
      </c>
      <c r="Z2" s="14" t="s">
        <v>123</v>
      </c>
      <c r="AA2" s="14" t="s">
        <v>132</v>
      </c>
      <c r="AB2" s="14" t="s">
        <v>229</v>
      </c>
      <c r="AC2" s="14" t="s">
        <v>126</v>
      </c>
      <c r="AD2" s="14" t="s">
        <v>128</v>
      </c>
      <c r="AE2" s="14" t="s">
        <v>130</v>
      </c>
    </row>
    <row r="3" customFormat="false" ht="15" hidden="false" customHeight="false" outlineLevel="0" collapsed="false">
      <c r="A3" s="53" t="str">
        <f aca="false">Countries!$A$6</f>
        <v>Romania</v>
      </c>
      <c r="B3" s="54" t="n">
        <v>1</v>
      </c>
      <c r="C3" s="53" t="str">
        <f aca="false">'Product &amp; Offers'!$B$14</f>
        <v>Buy 1</v>
      </c>
      <c r="D3" s="53" t="str">
        <f aca="false">Countries!$B$6</f>
        <v>Sameday RO</v>
      </c>
      <c r="E3" s="54" t="n">
        <f aca="false">'Product &amp; Offers'!$C$14+'Product &amp; Offers'!$D$14</f>
        <v>1</v>
      </c>
      <c r="F3" s="55" t="n">
        <f aca="false">N(Countries!$C$6)</f>
        <v>29.9</v>
      </c>
      <c r="G3" s="55" t="n">
        <f aca="false">'Product &amp; Offers'!$C$14*F3</f>
        <v>29.9</v>
      </c>
      <c r="H3" s="55" t="n">
        <f aca="false">IF(AND(ISNUMBER(Countries!$E$6),G3&gt;=Countries!$E$6),0,N(Countries!$D$6))</f>
        <v>4.99</v>
      </c>
      <c r="I3" s="55" t="n">
        <f aca="false">G3+H3</f>
        <v>34.89</v>
      </c>
      <c r="J3" s="56" t="n">
        <f aca="false">IF(VAT_On_Sales="Yes",IFERROR(INDEX(VAT_Rate,MATCH(A3,VAT_Country,0)),0),0)</f>
        <v>0.21</v>
      </c>
      <c r="K3" s="55" t="n">
        <f aca="false">I3-I3/(1+J3)</f>
        <v>6.05528925619835</v>
      </c>
      <c r="L3" s="55" t="n">
        <f aca="false">I3-K3</f>
        <v>28.8347107438017</v>
      </c>
      <c r="M3" s="55" t="n">
        <f aca="false">E3*P_Landed</f>
        <v>5.38</v>
      </c>
      <c r="N3" s="57" t="n">
        <f aca="false">E3*P_Weight+P_PackW</f>
        <v>0.3</v>
      </c>
      <c r="O3" s="54" t="n">
        <f aca="false">IFERROR(MATCH(1,INDEX((Dest_Country=A3)*(Dest_Courier=D3),0),0),0)</f>
        <v>3</v>
      </c>
      <c r="P3" s="55" t="n">
        <f aca="false">IF(O3=0,0,IFERROR(INDEX(Rate_Table,O3,COUNTIF(Rate_Weights,"&lt;"&amp;N3)+1),0))</f>
        <v>2.66734455448582</v>
      </c>
      <c r="Q3" s="55" t="n">
        <f aca="false">IF(P3&gt;0,P3*(1+INDEX(Dest_Fuel,O3))+INDEX(Dest_SMS,O3),0)</f>
        <v>2.66734455448582</v>
      </c>
      <c r="R3" s="55" t="n">
        <f aca="false">IF(E3&gt;0,FF_Base+FF_Extra_Item*MAX(0,E3-2)+FF_Extra_5kg*ROUNDUP(MAX(0,N3-5)/5,0),0)</f>
        <v>0.65</v>
      </c>
      <c r="S3" s="55" t="n">
        <f aca="false">'Product &amp; Offers'!$E$14</f>
        <v>0.08</v>
      </c>
      <c r="T3" s="55" t="n">
        <f aca="false">I3*Stripe_Pct+Stripe_Fixed</f>
        <v>2.14406</v>
      </c>
      <c r="U3" s="55" t="n">
        <f aca="false">(Q3+R3+S3)*(FF_VAT_Mult-1)</f>
        <v>0.679468910897164</v>
      </c>
      <c r="V3" s="55" t="n">
        <f aca="false">N(Countries!$F$6)</f>
        <v>15</v>
      </c>
      <c r="W3" s="55" t="n">
        <f aca="false">Fixed_Per_Order</f>
        <v>1.5844</v>
      </c>
      <c r="X3" s="56" t="n">
        <f aca="false">N(Countries!$G$6)</f>
        <v>0.03</v>
      </c>
      <c r="Y3" s="55" t="n">
        <f aca="false">X3*(L3-M3*P_Resell+(IF(Card_Ret_Label="Yes",Q3,0)+FF_Reverse)*FF_VAT_Mult)</f>
        <v>0.75932132231405</v>
      </c>
      <c r="Z3" s="55" t="n">
        <f aca="false">M3+Q3+R3+S3+T3+U3+V3+W3+Y3</f>
        <v>28.944594787697</v>
      </c>
      <c r="AA3" s="53" t="str">
        <f aca="false">IF(E3=0,"",IF(NOT(ISNUMBER(Countries!$C$6)),"enter price",IF(O3=0,"pick courier",IF(P3=0,"too heavy","OK"))))</f>
        <v>OK</v>
      </c>
      <c r="AB3" s="55" t="n">
        <f aca="false">IF(AA3="OK",L3-Z3,"")</f>
        <v>-0.109884043895377</v>
      </c>
      <c r="AC3" s="56" t="n">
        <f aca="false">IF(ISNUMBER(AB3),IF(L3&gt;0,AB3/L3,0),"")</f>
        <v>-0.00381082525403859</v>
      </c>
      <c r="AD3" s="55" t="n">
        <f aca="false">IF(ISNUMBER(AB3),AB3+V3,"")</f>
        <v>14.8901159561046</v>
      </c>
      <c r="AE3" s="58" t="n">
        <f aca="false">IF(ISNUMBER(AD3),IF(AD3&gt;0,I3/AD3,"never"),"")</f>
        <v>2.3431650970922</v>
      </c>
    </row>
    <row r="4" customFormat="false" ht="15" hidden="false" customHeight="false" outlineLevel="0" collapsed="false">
      <c r="A4" s="53" t="str">
        <f aca="false">Countries!$A$6</f>
        <v>Romania</v>
      </c>
      <c r="B4" s="54" t="n">
        <v>2</v>
      </c>
      <c r="C4" s="53" t="str">
        <f aca="false">'Product &amp; Offers'!$B$15</f>
        <v>Buy 2 Get 1 Free</v>
      </c>
      <c r="D4" s="53" t="str">
        <f aca="false">Countries!$B$6</f>
        <v>Sameday RO</v>
      </c>
      <c r="E4" s="54" t="n">
        <f aca="false">'Product &amp; Offers'!$C$15+'Product &amp; Offers'!$D$15</f>
        <v>3</v>
      </c>
      <c r="F4" s="55" t="n">
        <f aca="false">N(Countries!$C$6)</f>
        <v>29.9</v>
      </c>
      <c r="G4" s="55" t="n">
        <f aca="false">'Product &amp; Offers'!$C$15*F4</f>
        <v>59.8</v>
      </c>
      <c r="H4" s="55" t="n">
        <f aca="false">IF(AND(ISNUMBER(Countries!$E$6),G4&gt;=Countries!$E$6),0,N(Countries!$D$6))</f>
        <v>0</v>
      </c>
      <c r="I4" s="55" t="n">
        <f aca="false">G4+H4</f>
        <v>59.8</v>
      </c>
      <c r="J4" s="56" t="n">
        <f aca="false">IF(VAT_On_Sales="Yes",IFERROR(INDEX(VAT_Rate,MATCH(A4,VAT_Country,0)),0),0)</f>
        <v>0.21</v>
      </c>
      <c r="K4" s="55" t="n">
        <f aca="false">I4-I4/(1+J4)</f>
        <v>10.3785123966942</v>
      </c>
      <c r="L4" s="55" t="n">
        <f aca="false">I4-K4</f>
        <v>49.4214876033058</v>
      </c>
      <c r="M4" s="55" t="n">
        <f aca="false">E4*P_Landed</f>
        <v>16.14</v>
      </c>
      <c r="N4" s="57" t="n">
        <f aca="false">E4*P_Weight+P_PackW</f>
        <v>0.8</v>
      </c>
      <c r="O4" s="54" t="n">
        <f aca="false">IFERROR(MATCH(1,INDEX((Dest_Country=A4)*(Dest_Courier=D4),0),0),0)</f>
        <v>3</v>
      </c>
      <c r="P4" s="55" t="n">
        <f aca="false">IF(O4=0,0,IFERROR(INDEX(Rate_Table,O4,COUNTIF(Rate_Weights,"&lt;"&amp;N4)+1),0))</f>
        <v>2.66734455448582</v>
      </c>
      <c r="Q4" s="55" t="n">
        <f aca="false">IF(P4&gt;0,P4*(1+INDEX(Dest_Fuel,O4))+INDEX(Dest_SMS,O4),0)</f>
        <v>2.66734455448582</v>
      </c>
      <c r="R4" s="55" t="n">
        <f aca="false">IF(E4&gt;0,FF_Base+FF_Extra_Item*MAX(0,E4-2)+FF_Extra_5kg*ROUNDUP(MAX(0,N4-5)/5,0),0)</f>
        <v>1</v>
      </c>
      <c r="S4" s="55" t="n">
        <f aca="false">'Product &amp; Offers'!$E$15</f>
        <v>0.13</v>
      </c>
      <c r="T4" s="55" t="n">
        <f aca="false">I4*Stripe_Pct+Stripe_Fixed</f>
        <v>3.4892</v>
      </c>
      <c r="U4" s="55" t="n">
        <f aca="false">(Q4+R4+S4)*(FF_VAT_Mult-1)</f>
        <v>0.759468910897164</v>
      </c>
      <c r="V4" s="55" t="n">
        <f aca="false">N(Countries!$F$6)</f>
        <v>15</v>
      </c>
      <c r="W4" s="55" t="n">
        <f aca="false">Fixed_Per_Order</f>
        <v>1.5844</v>
      </c>
      <c r="X4" s="56" t="n">
        <f aca="false">N(Countries!$G$6)</f>
        <v>0.03</v>
      </c>
      <c r="Y4" s="55" t="n">
        <f aca="false">X4*(L4-M4*P_Resell+(IF(Card_Ret_Label="Yes",Q4,0)+FF_Reverse)*FF_VAT_Mult)</f>
        <v>1.11868462809917</v>
      </c>
      <c r="Z4" s="55" t="n">
        <f aca="false">M4+Q4+R4+S4+T4+U4+V4+W4+Y4</f>
        <v>41.8890980934822</v>
      </c>
      <c r="AA4" s="53" t="str">
        <f aca="false">IF(E4=0,"",IF(NOT(ISNUMBER(Countries!$C$6)),"enter price",IF(O4=0,"pick courier",IF(P4=0,"too heavy","OK"))))</f>
        <v>OK</v>
      </c>
      <c r="AB4" s="55" t="n">
        <f aca="false">IF(AA4="OK",L4-Z4,"")</f>
        <v>7.53238950982362</v>
      </c>
      <c r="AC4" s="56" t="n">
        <f aca="false">IF(ISNUMBER(AB4),IF(L4&gt;0,AB4/L4,0),"")</f>
        <v>0.152411225867669</v>
      </c>
      <c r="AD4" s="55" t="n">
        <f aca="false">IF(ISNUMBER(AB4),AB4+V4,"")</f>
        <v>22.5323895098236</v>
      </c>
      <c r="AE4" s="58" t="n">
        <f aca="false">IF(ISNUMBER(AD4),IF(AD4&gt;0,I4/AD4,"never"),"")</f>
        <v>2.65395731659656</v>
      </c>
    </row>
    <row r="5" customFormat="false" ht="15" hidden="false" customHeight="false" outlineLevel="0" collapsed="false">
      <c r="A5" s="53" t="str">
        <f aca="false">Countries!$A$6</f>
        <v>Romania</v>
      </c>
      <c r="B5" s="54" t="n">
        <v>3</v>
      </c>
      <c r="C5" s="53" t="str">
        <f aca="false">'Product &amp; Offers'!$B$16</f>
        <v>Buy 1 Get 1 Free</v>
      </c>
      <c r="D5" s="53" t="str">
        <f aca="false">Countries!$B$6</f>
        <v>Sameday RO</v>
      </c>
      <c r="E5" s="54" t="n">
        <f aca="false">'Product &amp; Offers'!$C$16+'Product &amp; Offers'!$D$16</f>
        <v>2</v>
      </c>
      <c r="F5" s="55" t="n">
        <f aca="false">N(Countries!$C$6)</f>
        <v>29.9</v>
      </c>
      <c r="G5" s="55" t="n">
        <f aca="false">'Product &amp; Offers'!$C$16*F5</f>
        <v>29.9</v>
      </c>
      <c r="H5" s="55" t="n">
        <f aca="false">IF(AND(ISNUMBER(Countries!$E$6),G5&gt;=Countries!$E$6),0,N(Countries!$D$6))</f>
        <v>4.99</v>
      </c>
      <c r="I5" s="55" t="n">
        <f aca="false">G5+H5</f>
        <v>34.89</v>
      </c>
      <c r="J5" s="56" t="n">
        <f aca="false">IF(VAT_On_Sales="Yes",IFERROR(INDEX(VAT_Rate,MATCH(A5,VAT_Country,0)),0),0)</f>
        <v>0.21</v>
      </c>
      <c r="K5" s="55" t="n">
        <f aca="false">I5-I5/(1+J5)</f>
        <v>6.05528925619835</v>
      </c>
      <c r="L5" s="55" t="n">
        <f aca="false">I5-K5</f>
        <v>28.8347107438017</v>
      </c>
      <c r="M5" s="55" t="n">
        <f aca="false">E5*P_Landed</f>
        <v>10.76</v>
      </c>
      <c r="N5" s="57" t="n">
        <f aca="false">E5*P_Weight+P_PackW</f>
        <v>0.55</v>
      </c>
      <c r="O5" s="54" t="n">
        <f aca="false">IFERROR(MATCH(1,INDEX((Dest_Country=A5)*(Dest_Courier=D5),0),0),0)</f>
        <v>3</v>
      </c>
      <c r="P5" s="55" t="n">
        <f aca="false">IF(O5=0,0,IFERROR(INDEX(Rate_Table,O5,COUNTIF(Rate_Weights,"&lt;"&amp;N5)+1),0))</f>
        <v>2.66734455448582</v>
      </c>
      <c r="Q5" s="55" t="n">
        <f aca="false">IF(P5&gt;0,P5*(1+INDEX(Dest_Fuel,O5))+INDEX(Dest_SMS,O5),0)</f>
        <v>2.66734455448582</v>
      </c>
      <c r="R5" s="55" t="n">
        <f aca="false">IF(E5&gt;0,FF_Base+FF_Extra_Item*MAX(0,E5-2)+FF_Extra_5kg*ROUNDUP(MAX(0,N5-5)/5,0),0)</f>
        <v>0.65</v>
      </c>
      <c r="S5" s="55" t="n">
        <f aca="false">'Product &amp; Offers'!$E$16</f>
        <v>0.08</v>
      </c>
      <c r="T5" s="55" t="n">
        <f aca="false">I5*Stripe_Pct+Stripe_Fixed</f>
        <v>2.14406</v>
      </c>
      <c r="U5" s="55" t="n">
        <f aca="false">(Q5+R5+S5)*(FF_VAT_Mult-1)</f>
        <v>0.679468910897164</v>
      </c>
      <c r="V5" s="55" t="n">
        <f aca="false">N(Countries!$F$6)</f>
        <v>15</v>
      </c>
      <c r="W5" s="55" t="n">
        <f aca="false">Fixed_Per_Order</f>
        <v>1.5844</v>
      </c>
      <c r="X5" s="56" t="n">
        <f aca="false">N(Countries!$G$6)</f>
        <v>0.03</v>
      </c>
      <c r="Y5" s="55" t="n">
        <f aca="false">X5*(L5-M5*P_Resell+(IF(Card_Ret_Label="Yes",Q5,0)+FF_Reverse)*FF_VAT_Mult)</f>
        <v>0.63020132231405</v>
      </c>
      <c r="Z5" s="55" t="n">
        <f aca="false">M5+Q5+R5+S5+T5+U5+V5+W5+Y5</f>
        <v>34.195474787697</v>
      </c>
      <c r="AA5" s="53" t="str">
        <f aca="false">IF(E5=0,"",IF(NOT(ISNUMBER(Countries!$C$6)),"enter price",IF(O5=0,"pick courier",IF(P5=0,"too heavy","OK"))))</f>
        <v>OK</v>
      </c>
      <c r="AB5" s="55" t="n">
        <f aca="false">IF(AA5="OK",L5-Z5,"")</f>
        <v>-5.36076404389538</v>
      </c>
      <c r="AC5" s="56" t="n">
        <f aca="false">IF(ISNUMBER(AB5),IF(L5&gt;0,AB5/L5,0),"")</f>
        <v>-0.185913571026466</v>
      </c>
      <c r="AD5" s="55" t="n">
        <f aca="false">IF(ISNUMBER(AB5),AB5+V5,"")</f>
        <v>9.63923595610462</v>
      </c>
      <c r="AE5" s="58" t="n">
        <f aca="false">IF(ISNUMBER(AD5),IF(AD5&gt;0,I5/AD5,"never"),"")</f>
        <v>3.61958148538773</v>
      </c>
    </row>
    <row r="6" customFormat="false" ht="15" hidden="false" customHeight="false" outlineLevel="0" collapsed="false">
      <c r="A6" s="53" t="str">
        <f aca="false">Countries!$A$7</f>
        <v>Bulgaria</v>
      </c>
      <c r="B6" s="54" t="n">
        <v>1</v>
      </c>
      <c r="C6" s="53" t="str">
        <f aca="false">'Product &amp; Offers'!$B$14</f>
        <v>Buy 1</v>
      </c>
      <c r="D6" s="53" t="str">
        <f aca="false">Countries!$B$7</f>
        <v>Sameday BG</v>
      </c>
      <c r="E6" s="54" t="n">
        <f aca="false">'Product &amp; Offers'!$C$14+'Product &amp; Offers'!$D$14</f>
        <v>1</v>
      </c>
      <c r="F6" s="55" t="n">
        <f aca="false">N(Countries!$C$7)</f>
        <v>29.9</v>
      </c>
      <c r="G6" s="55" t="n">
        <f aca="false">'Product &amp; Offers'!$C$14*F6</f>
        <v>29.9</v>
      </c>
      <c r="H6" s="55" t="n">
        <f aca="false">IF(AND(ISNUMBER(Countries!$E$7),G6&gt;=Countries!$E$7),0,N(Countries!$D$7))</f>
        <v>4.99</v>
      </c>
      <c r="I6" s="55" t="n">
        <f aca="false">G6+H6</f>
        <v>34.89</v>
      </c>
      <c r="J6" s="56" t="n">
        <f aca="false">IF(VAT_On_Sales="Yes",IFERROR(INDEX(VAT_Rate,MATCH(A6,VAT_Country,0)),0),0)</f>
        <v>0.2</v>
      </c>
      <c r="K6" s="55" t="n">
        <f aca="false">I6-I6/(1+J6)</f>
        <v>5.815</v>
      </c>
      <c r="L6" s="55" t="n">
        <f aca="false">I6-K6</f>
        <v>29.075</v>
      </c>
      <c r="M6" s="55" t="n">
        <f aca="false">E6*P_Landed</f>
        <v>5.38</v>
      </c>
      <c r="N6" s="57" t="n">
        <f aca="false">E6*P_Weight+P_PackW</f>
        <v>0.3</v>
      </c>
      <c r="O6" s="54" t="n">
        <f aca="false">IFERROR(MATCH(1,INDEX((Dest_Country=A6)*(Dest_Courier=D6),0),0),0)</f>
        <v>4</v>
      </c>
      <c r="P6" s="55" t="n">
        <f aca="false">IF(O6=0,0,IFERROR(INDEX(Rate_Table,O6,COUNTIF(Rate_Weights,"&lt;"&amp;N6)+1),0))</f>
        <v>2.66734455448582</v>
      </c>
      <c r="Q6" s="55" t="n">
        <f aca="false">IF(P6&gt;0,P6*(1+INDEX(Dest_Fuel,O6))+INDEX(Dest_SMS,O6),0)</f>
        <v>2.66734455448582</v>
      </c>
      <c r="R6" s="55" t="n">
        <f aca="false">IF(E6&gt;0,FF_Base+FF_Extra_Item*MAX(0,E6-2)+FF_Extra_5kg*ROUNDUP(MAX(0,N6-5)/5,0),0)</f>
        <v>0.65</v>
      </c>
      <c r="S6" s="55" t="n">
        <f aca="false">'Product &amp; Offers'!$E$14</f>
        <v>0.08</v>
      </c>
      <c r="T6" s="55" t="n">
        <f aca="false">I6*Stripe_Pct+Stripe_Fixed</f>
        <v>2.14406</v>
      </c>
      <c r="U6" s="55" t="n">
        <f aca="false">(Q6+R6+S6)*(FF_VAT_Mult-1)</f>
        <v>0.679468910897164</v>
      </c>
      <c r="V6" s="55" t="n">
        <f aca="false">N(Countries!$F$7)</f>
        <v>15</v>
      </c>
      <c r="W6" s="55" t="n">
        <f aca="false">Fixed_Per_Order</f>
        <v>1.5844</v>
      </c>
      <c r="X6" s="56" t="n">
        <f aca="false">N(Countries!$G$7)</f>
        <v>0.03</v>
      </c>
      <c r="Y6" s="55" t="n">
        <f aca="false">X6*(L6-M6*P_Resell+(IF(Card_Ret_Label="Yes",Q6,0)+FF_Reverse)*FF_VAT_Mult)</f>
        <v>0.76653</v>
      </c>
      <c r="Z6" s="55" t="n">
        <f aca="false">M6+Q6+R6+S6+T6+U6+V6+W6+Y6</f>
        <v>28.951803465383</v>
      </c>
      <c r="AA6" s="53" t="str">
        <f aca="false">IF(E6=0,"",IF(NOT(ISNUMBER(Countries!$C$7)),"enter price",IF(O6=0,"pick courier",IF(P6=0,"too heavy","OK"))))</f>
        <v>OK</v>
      </c>
      <c r="AB6" s="55" t="n">
        <f aca="false">IF(AA6="OK",L6-Z6,"")</f>
        <v>0.123196534617023</v>
      </c>
      <c r="AC6" s="56" t="n">
        <f aca="false">IF(ISNUMBER(AB6),IF(L6&gt;0,AB6/L6,0),"")</f>
        <v>0.00423719809516845</v>
      </c>
      <c r="AD6" s="55" t="n">
        <f aca="false">IF(ISNUMBER(AB6),AB6+V6,"")</f>
        <v>15.123196534617</v>
      </c>
      <c r="AE6" s="58" t="n">
        <f aca="false">IF(ISNUMBER(AD6),IF(AD6&gt;0,I6/AD6,"never"),"")</f>
        <v>2.30705194633534</v>
      </c>
    </row>
    <row r="7" customFormat="false" ht="15" hidden="false" customHeight="false" outlineLevel="0" collapsed="false">
      <c r="A7" s="53" t="str">
        <f aca="false">Countries!$A$7</f>
        <v>Bulgaria</v>
      </c>
      <c r="B7" s="54" t="n">
        <v>2</v>
      </c>
      <c r="C7" s="53" t="str">
        <f aca="false">'Product &amp; Offers'!$B$15</f>
        <v>Buy 2 Get 1 Free</v>
      </c>
      <c r="D7" s="53" t="str">
        <f aca="false">Countries!$B$7</f>
        <v>Sameday BG</v>
      </c>
      <c r="E7" s="54" t="n">
        <f aca="false">'Product &amp; Offers'!$C$15+'Product &amp; Offers'!$D$15</f>
        <v>3</v>
      </c>
      <c r="F7" s="55" t="n">
        <f aca="false">N(Countries!$C$7)</f>
        <v>29.9</v>
      </c>
      <c r="G7" s="55" t="n">
        <f aca="false">'Product &amp; Offers'!$C$15*F7</f>
        <v>59.8</v>
      </c>
      <c r="H7" s="55" t="n">
        <f aca="false">IF(AND(ISNUMBER(Countries!$E$7),G7&gt;=Countries!$E$7),0,N(Countries!$D$7))</f>
        <v>0</v>
      </c>
      <c r="I7" s="55" t="n">
        <f aca="false">G7+H7</f>
        <v>59.8</v>
      </c>
      <c r="J7" s="56" t="n">
        <f aca="false">IF(VAT_On_Sales="Yes",IFERROR(INDEX(VAT_Rate,MATCH(A7,VAT_Country,0)),0),0)</f>
        <v>0.2</v>
      </c>
      <c r="K7" s="55" t="n">
        <f aca="false">I7-I7/(1+J7)</f>
        <v>9.96666666666666</v>
      </c>
      <c r="L7" s="55" t="n">
        <f aca="false">I7-K7</f>
        <v>49.8333333333333</v>
      </c>
      <c r="M7" s="55" t="n">
        <f aca="false">E7*P_Landed</f>
        <v>16.14</v>
      </c>
      <c r="N7" s="57" t="n">
        <f aca="false">E7*P_Weight+P_PackW</f>
        <v>0.8</v>
      </c>
      <c r="O7" s="54" t="n">
        <f aca="false">IFERROR(MATCH(1,INDEX((Dest_Country=A7)*(Dest_Courier=D7),0),0),0)</f>
        <v>4</v>
      </c>
      <c r="P7" s="55" t="n">
        <f aca="false">IF(O7=0,0,IFERROR(INDEX(Rate_Table,O7,COUNTIF(Rate_Weights,"&lt;"&amp;N7)+1),0))</f>
        <v>2.66734455448582</v>
      </c>
      <c r="Q7" s="55" t="n">
        <f aca="false">IF(P7&gt;0,P7*(1+INDEX(Dest_Fuel,O7))+INDEX(Dest_SMS,O7),0)</f>
        <v>2.66734455448582</v>
      </c>
      <c r="R7" s="55" t="n">
        <f aca="false">IF(E7&gt;0,FF_Base+FF_Extra_Item*MAX(0,E7-2)+FF_Extra_5kg*ROUNDUP(MAX(0,N7-5)/5,0),0)</f>
        <v>1</v>
      </c>
      <c r="S7" s="55" t="n">
        <f aca="false">'Product &amp; Offers'!$E$15</f>
        <v>0.13</v>
      </c>
      <c r="T7" s="55" t="n">
        <f aca="false">I7*Stripe_Pct+Stripe_Fixed</f>
        <v>3.4892</v>
      </c>
      <c r="U7" s="55" t="n">
        <f aca="false">(Q7+R7+S7)*(FF_VAT_Mult-1)</f>
        <v>0.759468910897164</v>
      </c>
      <c r="V7" s="55" t="n">
        <f aca="false">N(Countries!$F$7)</f>
        <v>15</v>
      </c>
      <c r="W7" s="55" t="n">
        <f aca="false">Fixed_Per_Order</f>
        <v>1.5844</v>
      </c>
      <c r="X7" s="56" t="n">
        <f aca="false">N(Countries!$G$7)</f>
        <v>0.03</v>
      </c>
      <c r="Y7" s="55" t="n">
        <f aca="false">X7*(L7-M7*P_Resell+(IF(Card_Ret_Label="Yes",Q7,0)+FF_Reverse)*FF_VAT_Mult)</f>
        <v>1.13104</v>
      </c>
      <c r="Z7" s="55" t="n">
        <f aca="false">M7+Q7+R7+S7+T7+U7+V7+W7+Y7</f>
        <v>41.901453465383</v>
      </c>
      <c r="AA7" s="53" t="str">
        <f aca="false">IF(E7=0,"",IF(NOT(ISNUMBER(Countries!$C$7)),"enter price",IF(O7=0,"pick courier",IF(P7=0,"too heavy","OK"))))</f>
        <v>OK</v>
      </c>
      <c r="AB7" s="55" t="n">
        <f aca="false">IF(AA7="OK",L7-Z7,"")</f>
        <v>7.93187986795035</v>
      </c>
      <c r="AC7" s="56" t="n">
        <f aca="false">IF(ISNUMBER(AB7),IF(L7&gt;0,AB7/L7,0),"")</f>
        <v>0.159168157885291</v>
      </c>
      <c r="AD7" s="55" t="n">
        <f aca="false">IF(ISNUMBER(AB7),AB7+V7,"")</f>
        <v>22.9318798679504</v>
      </c>
      <c r="AE7" s="58" t="n">
        <f aca="false">IF(ISNUMBER(AD7),IF(AD7&gt;0,I7/AD7,"never"),"")</f>
        <v>2.60772341144071</v>
      </c>
    </row>
    <row r="8" customFormat="false" ht="15" hidden="false" customHeight="false" outlineLevel="0" collapsed="false">
      <c r="A8" s="53" t="str">
        <f aca="false">Countries!$A$7</f>
        <v>Bulgaria</v>
      </c>
      <c r="B8" s="54" t="n">
        <v>3</v>
      </c>
      <c r="C8" s="53" t="str">
        <f aca="false">'Product &amp; Offers'!$B$16</f>
        <v>Buy 1 Get 1 Free</v>
      </c>
      <c r="D8" s="53" t="str">
        <f aca="false">Countries!$B$7</f>
        <v>Sameday BG</v>
      </c>
      <c r="E8" s="54" t="n">
        <f aca="false">'Product &amp; Offers'!$C$16+'Product &amp; Offers'!$D$16</f>
        <v>2</v>
      </c>
      <c r="F8" s="55" t="n">
        <f aca="false">N(Countries!$C$7)</f>
        <v>29.9</v>
      </c>
      <c r="G8" s="55" t="n">
        <f aca="false">'Product &amp; Offers'!$C$16*F8</f>
        <v>29.9</v>
      </c>
      <c r="H8" s="55" t="n">
        <f aca="false">IF(AND(ISNUMBER(Countries!$E$7),G8&gt;=Countries!$E$7),0,N(Countries!$D$7))</f>
        <v>4.99</v>
      </c>
      <c r="I8" s="55" t="n">
        <f aca="false">G8+H8</f>
        <v>34.89</v>
      </c>
      <c r="J8" s="56" t="n">
        <f aca="false">IF(VAT_On_Sales="Yes",IFERROR(INDEX(VAT_Rate,MATCH(A8,VAT_Country,0)),0),0)</f>
        <v>0.2</v>
      </c>
      <c r="K8" s="55" t="n">
        <f aca="false">I8-I8/(1+J8)</f>
        <v>5.815</v>
      </c>
      <c r="L8" s="55" t="n">
        <f aca="false">I8-K8</f>
        <v>29.075</v>
      </c>
      <c r="M8" s="55" t="n">
        <f aca="false">E8*P_Landed</f>
        <v>10.76</v>
      </c>
      <c r="N8" s="57" t="n">
        <f aca="false">E8*P_Weight+P_PackW</f>
        <v>0.55</v>
      </c>
      <c r="O8" s="54" t="n">
        <f aca="false">IFERROR(MATCH(1,INDEX((Dest_Country=A8)*(Dest_Courier=D8),0),0),0)</f>
        <v>4</v>
      </c>
      <c r="P8" s="55" t="n">
        <f aca="false">IF(O8=0,0,IFERROR(INDEX(Rate_Table,O8,COUNTIF(Rate_Weights,"&lt;"&amp;N8)+1),0))</f>
        <v>2.66734455448582</v>
      </c>
      <c r="Q8" s="55" t="n">
        <f aca="false">IF(P8&gt;0,P8*(1+INDEX(Dest_Fuel,O8))+INDEX(Dest_SMS,O8),0)</f>
        <v>2.66734455448582</v>
      </c>
      <c r="R8" s="55" t="n">
        <f aca="false">IF(E8&gt;0,FF_Base+FF_Extra_Item*MAX(0,E8-2)+FF_Extra_5kg*ROUNDUP(MAX(0,N8-5)/5,0),0)</f>
        <v>0.65</v>
      </c>
      <c r="S8" s="55" t="n">
        <f aca="false">'Product &amp; Offers'!$E$16</f>
        <v>0.08</v>
      </c>
      <c r="T8" s="55" t="n">
        <f aca="false">I8*Stripe_Pct+Stripe_Fixed</f>
        <v>2.14406</v>
      </c>
      <c r="U8" s="55" t="n">
        <f aca="false">(Q8+R8+S8)*(FF_VAT_Mult-1)</f>
        <v>0.679468910897164</v>
      </c>
      <c r="V8" s="55" t="n">
        <f aca="false">N(Countries!$F$7)</f>
        <v>15</v>
      </c>
      <c r="W8" s="55" t="n">
        <f aca="false">Fixed_Per_Order</f>
        <v>1.5844</v>
      </c>
      <c r="X8" s="56" t="n">
        <f aca="false">N(Countries!$G$7)</f>
        <v>0.03</v>
      </c>
      <c r="Y8" s="55" t="n">
        <f aca="false">X8*(L8-M8*P_Resell+(IF(Card_Ret_Label="Yes",Q8,0)+FF_Reverse)*FF_VAT_Mult)</f>
        <v>0.63741</v>
      </c>
      <c r="Z8" s="55" t="n">
        <f aca="false">M8+Q8+R8+S8+T8+U8+V8+W8+Y8</f>
        <v>34.202683465383</v>
      </c>
      <c r="AA8" s="53" t="str">
        <f aca="false">IF(E8=0,"",IF(NOT(ISNUMBER(Countries!$C$7)),"enter price",IF(O8=0,"pick courier",IF(P8=0,"too heavy","OK"))))</f>
        <v>OK</v>
      </c>
      <c r="AB8" s="55" t="n">
        <f aca="false">IF(AA8="OK",L8-Z8,"")</f>
        <v>-5.12768346538299</v>
      </c>
      <c r="AC8" s="56" t="n">
        <f aca="false">IF(ISNUMBER(AB8),IF(L8&gt;0,AB8/L8,0),"")</f>
        <v>-0.176360566307239</v>
      </c>
      <c r="AD8" s="55" t="n">
        <f aca="false">IF(ISNUMBER(AB8),AB8+V8,"")</f>
        <v>9.87231653461701</v>
      </c>
      <c r="AE8" s="58" t="n">
        <f aca="false">IF(ISNUMBER(AD8),IF(AD8&gt;0,I8/AD8,"never"),"")</f>
        <v>3.53412493183937</v>
      </c>
    </row>
    <row r="9" customFormat="false" ht="15" hidden="false" customHeight="false" outlineLevel="0" collapsed="false">
      <c r="A9" s="53" t="str">
        <f aca="false">Countries!$A$8</f>
        <v>Greece</v>
      </c>
      <c r="B9" s="54" t="n">
        <v>1</v>
      </c>
      <c r="C9" s="53" t="str">
        <f aca="false">'Product &amp; Offers'!$B$14</f>
        <v>Buy 1</v>
      </c>
      <c r="D9" s="53" t="str">
        <f aca="false">Countries!$B$8</f>
        <v>Geniki</v>
      </c>
      <c r="E9" s="54" t="n">
        <f aca="false">'Product &amp; Offers'!$C$14+'Product &amp; Offers'!$D$14</f>
        <v>1</v>
      </c>
      <c r="F9" s="55" t="n">
        <f aca="false">N(Countries!$C$8)</f>
        <v>29.9</v>
      </c>
      <c r="G9" s="55" t="n">
        <f aca="false">'Product &amp; Offers'!$C$14*F9</f>
        <v>29.9</v>
      </c>
      <c r="H9" s="55" t="n">
        <f aca="false">IF(AND(ISNUMBER(Countries!$E$8),G9&gt;=Countries!$E$8),0,N(Countries!$D$8))</f>
        <v>4.99</v>
      </c>
      <c r="I9" s="55" t="n">
        <f aca="false">G9+H9</f>
        <v>34.89</v>
      </c>
      <c r="J9" s="56" t="n">
        <f aca="false">IF(VAT_On_Sales="Yes",IFERROR(INDEX(VAT_Rate,MATCH(A9,VAT_Country,0)),0),0)</f>
        <v>0.24</v>
      </c>
      <c r="K9" s="55" t="n">
        <f aca="false">I9-I9/(1+J9)</f>
        <v>6.75290322580645</v>
      </c>
      <c r="L9" s="55" t="n">
        <f aca="false">I9-K9</f>
        <v>28.1370967741935</v>
      </c>
      <c r="M9" s="55" t="n">
        <f aca="false">E9*P_Landed</f>
        <v>5.38</v>
      </c>
      <c r="N9" s="57" t="n">
        <f aca="false">E9*P_Weight+P_PackW</f>
        <v>0.3</v>
      </c>
      <c r="O9" s="54" t="n">
        <f aca="false">IFERROR(MATCH(1,INDEX((Dest_Country=A9)*(Dest_Courier=D9),0),0),0)</f>
        <v>7</v>
      </c>
      <c r="P9" s="55" t="n">
        <f aca="false">IF(O9=0,0,IFERROR(INDEX(Rate_Table,O9,COUNTIF(Rate_Weights,"&lt;"&amp;N9)+1),0))</f>
        <v>3.05</v>
      </c>
      <c r="Q9" s="55" t="n">
        <f aca="false">IF(P9&gt;0,P9*(1+INDEX(Dest_Fuel,O9))+INDEX(Dest_SMS,O9),0)</f>
        <v>3.05</v>
      </c>
      <c r="R9" s="55" t="n">
        <f aca="false">IF(E9&gt;0,FF_Base+FF_Extra_Item*MAX(0,E9-2)+FF_Extra_5kg*ROUNDUP(MAX(0,N9-5)/5,0),0)</f>
        <v>0.65</v>
      </c>
      <c r="S9" s="55" t="n">
        <f aca="false">'Product &amp; Offers'!$E$14</f>
        <v>0.08</v>
      </c>
      <c r="T9" s="55" t="n">
        <f aca="false">I9*Stripe_Pct+Stripe_Fixed</f>
        <v>2.14406</v>
      </c>
      <c r="U9" s="55" t="n">
        <f aca="false">(Q9+R9+S9)*(FF_VAT_Mult-1)</f>
        <v>0.756</v>
      </c>
      <c r="V9" s="55" t="n">
        <f aca="false">N(Countries!$F$8)</f>
        <v>15</v>
      </c>
      <c r="W9" s="55" t="n">
        <f aca="false">Fixed_Per_Order</f>
        <v>1.5844</v>
      </c>
      <c r="X9" s="56" t="n">
        <f aca="false">N(Countries!$G$8)</f>
        <v>0.03</v>
      </c>
      <c r="Y9" s="55" t="n">
        <f aca="false">X9*(L9-M9*P_Resell+(IF(Card_Ret_Label="Yes",Q9,0)+FF_Reverse)*FF_VAT_Mult)</f>
        <v>0.738392903225807</v>
      </c>
      <c r="Z9" s="55" t="n">
        <f aca="false">M9+Q9+R9+S9+T9+U9+V9+W9+Y9</f>
        <v>29.3828529032258</v>
      </c>
      <c r="AA9" s="53" t="str">
        <f aca="false">IF(E9=0,"",IF(NOT(ISNUMBER(Countries!$C$8)),"enter price",IF(O9=0,"pick courier",IF(P9=0,"too heavy","OK"))))</f>
        <v>OK</v>
      </c>
      <c r="AB9" s="55" t="n">
        <f aca="false">IF(AA9="OK",L9-Z9,"")</f>
        <v>-1.24575612903226</v>
      </c>
      <c r="AC9" s="56" t="n">
        <f aca="false">IF(ISNUMBER(AB9),IF(L9&gt;0,AB9/L9,0),"")</f>
        <v>-0.0442745084551448</v>
      </c>
      <c r="AD9" s="55" t="n">
        <f aca="false">IF(ISNUMBER(AB9),AB9+V9,"")</f>
        <v>13.7542438709677</v>
      </c>
      <c r="AE9" s="58" t="n">
        <f aca="false">IF(ISNUMBER(AD9),IF(AD9&gt;0,I9/AD9,"never"),"")</f>
        <v>2.53667161403509</v>
      </c>
    </row>
    <row r="10" customFormat="false" ht="15" hidden="false" customHeight="false" outlineLevel="0" collapsed="false">
      <c r="A10" s="53" t="str">
        <f aca="false">Countries!$A$8</f>
        <v>Greece</v>
      </c>
      <c r="B10" s="54" t="n">
        <v>2</v>
      </c>
      <c r="C10" s="53" t="str">
        <f aca="false">'Product &amp; Offers'!$B$15</f>
        <v>Buy 2 Get 1 Free</v>
      </c>
      <c r="D10" s="53" t="str">
        <f aca="false">Countries!$B$8</f>
        <v>Geniki</v>
      </c>
      <c r="E10" s="54" t="n">
        <f aca="false">'Product &amp; Offers'!$C$15+'Product &amp; Offers'!$D$15</f>
        <v>3</v>
      </c>
      <c r="F10" s="55" t="n">
        <f aca="false">N(Countries!$C$8)</f>
        <v>29.9</v>
      </c>
      <c r="G10" s="55" t="n">
        <f aca="false">'Product &amp; Offers'!$C$15*F10</f>
        <v>59.8</v>
      </c>
      <c r="H10" s="55" t="n">
        <f aca="false">IF(AND(ISNUMBER(Countries!$E$8),G10&gt;=Countries!$E$8),0,N(Countries!$D$8))</f>
        <v>0</v>
      </c>
      <c r="I10" s="55" t="n">
        <f aca="false">G10+H10</f>
        <v>59.8</v>
      </c>
      <c r="J10" s="56" t="n">
        <f aca="false">IF(VAT_On_Sales="Yes",IFERROR(INDEX(VAT_Rate,MATCH(A10,VAT_Country,0)),0),0)</f>
        <v>0.24</v>
      </c>
      <c r="K10" s="55" t="n">
        <f aca="false">I10-I10/(1+J10)</f>
        <v>11.5741935483871</v>
      </c>
      <c r="L10" s="55" t="n">
        <f aca="false">I10-K10</f>
        <v>48.2258064516129</v>
      </c>
      <c r="M10" s="55" t="n">
        <f aca="false">E10*P_Landed</f>
        <v>16.14</v>
      </c>
      <c r="N10" s="57" t="n">
        <f aca="false">E10*P_Weight+P_PackW</f>
        <v>0.8</v>
      </c>
      <c r="O10" s="54" t="n">
        <f aca="false">IFERROR(MATCH(1,INDEX((Dest_Country=A10)*(Dest_Courier=D10),0),0),0)</f>
        <v>7</v>
      </c>
      <c r="P10" s="55" t="n">
        <f aca="false">IF(O10=0,0,IFERROR(INDEX(Rate_Table,O10,COUNTIF(Rate_Weights,"&lt;"&amp;N10)+1),0))</f>
        <v>3.05</v>
      </c>
      <c r="Q10" s="55" t="n">
        <f aca="false">IF(P10&gt;0,P10*(1+INDEX(Dest_Fuel,O10))+INDEX(Dest_SMS,O10),0)</f>
        <v>3.05</v>
      </c>
      <c r="R10" s="55" t="n">
        <f aca="false">IF(E10&gt;0,FF_Base+FF_Extra_Item*MAX(0,E10-2)+FF_Extra_5kg*ROUNDUP(MAX(0,N10-5)/5,0),0)</f>
        <v>1</v>
      </c>
      <c r="S10" s="55" t="n">
        <f aca="false">'Product &amp; Offers'!$E$15</f>
        <v>0.13</v>
      </c>
      <c r="T10" s="55" t="n">
        <f aca="false">I10*Stripe_Pct+Stripe_Fixed</f>
        <v>3.4892</v>
      </c>
      <c r="U10" s="55" t="n">
        <f aca="false">(Q10+R10+S10)*(FF_VAT_Mult-1)</f>
        <v>0.836</v>
      </c>
      <c r="V10" s="55" t="n">
        <f aca="false">N(Countries!$F$8)</f>
        <v>15</v>
      </c>
      <c r="W10" s="55" t="n">
        <f aca="false">Fixed_Per_Order</f>
        <v>1.5844</v>
      </c>
      <c r="X10" s="56" t="n">
        <f aca="false">N(Countries!$G$8)</f>
        <v>0.03</v>
      </c>
      <c r="Y10" s="55" t="n">
        <f aca="false">X10*(L10-M10*P_Resell+(IF(Card_Ret_Label="Yes",Q10,0)+FF_Reverse)*FF_VAT_Mult)</f>
        <v>1.08281419354839</v>
      </c>
      <c r="Z10" s="55" t="n">
        <f aca="false">M10+Q10+R10+S10+T10+U10+V10+W10+Y10</f>
        <v>42.3124141935484</v>
      </c>
      <c r="AA10" s="53" t="str">
        <f aca="false">IF(E10=0,"",IF(NOT(ISNUMBER(Countries!$C$8)),"enter price",IF(O10=0,"pick courier",IF(P10=0,"too heavy","OK"))))</f>
        <v>OK</v>
      </c>
      <c r="AB10" s="55" t="n">
        <f aca="false">IF(AA10="OK",L10-Z10,"")</f>
        <v>5.91339225806451</v>
      </c>
      <c r="AC10" s="56" t="n">
        <f aca="false">IF(ISNUMBER(AB10),IF(L10&gt;0,AB10/L10,0),"")</f>
        <v>0.122618836120401</v>
      </c>
      <c r="AD10" s="55" t="n">
        <f aca="false">IF(ISNUMBER(AB10),AB10+V10,"")</f>
        <v>20.9133922580645</v>
      </c>
      <c r="AE10" s="58" t="n">
        <f aca="false">IF(ISNUMBER(AD10),IF(AD10&gt;0,I10/AD10,"never"),"")</f>
        <v>2.85941177127495</v>
      </c>
    </row>
    <row r="11" customFormat="false" ht="15" hidden="false" customHeight="false" outlineLevel="0" collapsed="false">
      <c r="A11" s="53" t="str">
        <f aca="false">Countries!$A$8</f>
        <v>Greece</v>
      </c>
      <c r="B11" s="54" t="n">
        <v>3</v>
      </c>
      <c r="C11" s="53" t="str">
        <f aca="false">'Product &amp; Offers'!$B$16</f>
        <v>Buy 1 Get 1 Free</v>
      </c>
      <c r="D11" s="53" t="str">
        <f aca="false">Countries!$B$8</f>
        <v>Geniki</v>
      </c>
      <c r="E11" s="54" t="n">
        <f aca="false">'Product &amp; Offers'!$C$16+'Product &amp; Offers'!$D$16</f>
        <v>2</v>
      </c>
      <c r="F11" s="55" t="n">
        <f aca="false">N(Countries!$C$8)</f>
        <v>29.9</v>
      </c>
      <c r="G11" s="55" t="n">
        <f aca="false">'Product &amp; Offers'!$C$16*F11</f>
        <v>29.9</v>
      </c>
      <c r="H11" s="55" t="n">
        <f aca="false">IF(AND(ISNUMBER(Countries!$E$8),G11&gt;=Countries!$E$8),0,N(Countries!$D$8))</f>
        <v>4.99</v>
      </c>
      <c r="I11" s="55" t="n">
        <f aca="false">G11+H11</f>
        <v>34.89</v>
      </c>
      <c r="J11" s="56" t="n">
        <f aca="false">IF(VAT_On_Sales="Yes",IFERROR(INDEX(VAT_Rate,MATCH(A11,VAT_Country,0)),0),0)</f>
        <v>0.24</v>
      </c>
      <c r="K11" s="55" t="n">
        <f aca="false">I11-I11/(1+J11)</f>
        <v>6.75290322580645</v>
      </c>
      <c r="L11" s="55" t="n">
        <f aca="false">I11-K11</f>
        <v>28.1370967741935</v>
      </c>
      <c r="M11" s="55" t="n">
        <f aca="false">E11*P_Landed</f>
        <v>10.76</v>
      </c>
      <c r="N11" s="57" t="n">
        <f aca="false">E11*P_Weight+P_PackW</f>
        <v>0.55</v>
      </c>
      <c r="O11" s="54" t="n">
        <f aca="false">IFERROR(MATCH(1,INDEX((Dest_Country=A11)*(Dest_Courier=D11),0),0),0)</f>
        <v>7</v>
      </c>
      <c r="P11" s="55" t="n">
        <f aca="false">IF(O11=0,0,IFERROR(INDEX(Rate_Table,O11,COUNTIF(Rate_Weights,"&lt;"&amp;N11)+1),0))</f>
        <v>3.05</v>
      </c>
      <c r="Q11" s="55" t="n">
        <f aca="false">IF(P11&gt;0,P11*(1+INDEX(Dest_Fuel,O11))+INDEX(Dest_SMS,O11),0)</f>
        <v>3.05</v>
      </c>
      <c r="R11" s="55" t="n">
        <f aca="false">IF(E11&gt;0,FF_Base+FF_Extra_Item*MAX(0,E11-2)+FF_Extra_5kg*ROUNDUP(MAX(0,N11-5)/5,0),0)</f>
        <v>0.65</v>
      </c>
      <c r="S11" s="55" t="n">
        <f aca="false">'Product &amp; Offers'!$E$16</f>
        <v>0.08</v>
      </c>
      <c r="T11" s="55" t="n">
        <f aca="false">I11*Stripe_Pct+Stripe_Fixed</f>
        <v>2.14406</v>
      </c>
      <c r="U11" s="55" t="n">
        <f aca="false">(Q11+R11+S11)*(FF_VAT_Mult-1)</f>
        <v>0.756</v>
      </c>
      <c r="V11" s="55" t="n">
        <f aca="false">N(Countries!$F$8)</f>
        <v>15</v>
      </c>
      <c r="W11" s="55" t="n">
        <f aca="false">Fixed_Per_Order</f>
        <v>1.5844</v>
      </c>
      <c r="X11" s="56" t="n">
        <f aca="false">N(Countries!$G$8)</f>
        <v>0.03</v>
      </c>
      <c r="Y11" s="55" t="n">
        <f aca="false">X11*(L11-M11*P_Resell+(IF(Card_Ret_Label="Yes",Q11,0)+FF_Reverse)*FF_VAT_Mult)</f>
        <v>0.609272903225806</v>
      </c>
      <c r="Z11" s="55" t="n">
        <f aca="false">M11+Q11+R11+S11+T11+U11+V11+W11+Y11</f>
        <v>34.6337329032258</v>
      </c>
      <c r="AA11" s="53" t="str">
        <f aca="false">IF(E11=0,"",IF(NOT(ISNUMBER(Countries!$C$8)),"enter price",IF(O11=0,"pick courier",IF(P11=0,"too heavy","OK"))))</f>
        <v>OK</v>
      </c>
      <c r="AB11" s="55" t="n">
        <f aca="false">IF(AA11="OK",L11-Z11,"")</f>
        <v>-6.49663612903226</v>
      </c>
      <c r="AC11" s="56" t="n">
        <f aca="false">IF(ISNUMBER(AB11),IF(L11&gt;0,AB11/L11,0),"")</f>
        <v>-0.230892198337633</v>
      </c>
      <c r="AD11" s="55" t="n">
        <f aca="false">IF(ISNUMBER(AB11),AB11+V11,"")</f>
        <v>8.50336387096774</v>
      </c>
      <c r="AE11" s="58" t="n">
        <f aca="false">IF(ISNUMBER(AD11),IF(AD11&gt;0,I11/AD11,"never"),"")</f>
        <v>4.10308208956243</v>
      </c>
    </row>
    <row r="12" customFormat="false" ht="15" hidden="false" customHeight="false" outlineLevel="0" collapsed="false">
      <c r="A12" s="53" t="str">
        <f aca="false">Countries!$A$9</f>
        <v>Cyprus</v>
      </c>
      <c r="B12" s="54" t="n">
        <v>1</v>
      </c>
      <c r="C12" s="53" t="str">
        <f aca="false">'Product &amp; Offers'!$B$14</f>
        <v>Buy 1</v>
      </c>
      <c r="D12" s="53" t="str">
        <f aca="false">Countries!$B$9</f>
        <v>Geniki</v>
      </c>
      <c r="E12" s="54" t="n">
        <f aca="false">'Product &amp; Offers'!$C$14+'Product &amp; Offers'!$D$14</f>
        <v>1</v>
      </c>
      <c r="F12" s="55" t="n">
        <f aca="false">N(Countries!$C$9)</f>
        <v>29.9</v>
      </c>
      <c r="G12" s="55" t="n">
        <f aca="false">'Product &amp; Offers'!$C$14*F12</f>
        <v>29.9</v>
      </c>
      <c r="H12" s="55" t="n">
        <f aca="false">IF(AND(ISNUMBER(Countries!$E$9),G12&gt;=Countries!$E$9),0,N(Countries!$D$9))</f>
        <v>4.99</v>
      </c>
      <c r="I12" s="55" t="n">
        <f aca="false">G12+H12</f>
        <v>34.89</v>
      </c>
      <c r="J12" s="56" t="n">
        <f aca="false">IF(VAT_On_Sales="Yes",IFERROR(INDEX(VAT_Rate,MATCH(A12,VAT_Country,0)),0),0)</f>
        <v>0.19</v>
      </c>
      <c r="K12" s="55" t="n">
        <f aca="false">I12-I12/(1+J12)</f>
        <v>5.57067226890756</v>
      </c>
      <c r="L12" s="55" t="n">
        <f aca="false">I12-K12</f>
        <v>29.3193277310924</v>
      </c>
      <c r="M12" s="55" t="n">
        <f aca="false">E12*P_Landed</f>
        <v>5.38</v>
      </c>
      <c r="N12" s="57" t="n">
        <f aca="false">E12*P_Weight+P_PackW</f>
        <v>0.3</v>
      </c>
      <c r="O12" s="54" t="n">
        <f aca="false">IFERROR(MATCH(1,INDEX((Dest_Country=A12)*(Dest_Courier=D12),0),0),0)</f>
        <v>9</v>
      </c>
      <c r="P12" s="55" t="n">
        <f aca="false">IF(O12=0,0,IFERROR(INDEX(Rate_Table,O12,COUNTIF(Rate_Weights,"&lt;"&amp;N12)+1),0))</f>
        <v>7.325</v>
      </c>
      <c r="Q12" s="55" t="n">
        <f aca="false">IF(P12&gt;0,P12*(1+INDEX(Dest_Fuel,O12))+INDEX(Dest_SMS,O12),0)</f>
        <v>7.325</v>
      </c>
      <c r="R12" s="55" t="n">
        <f aca="false">IF(E12&gt;0,FF_Base+FF_Extra_Item*MAX(0,E12-2)+FF_Extra_5kg*ROUNDUP(MAX(0,N12-5)/5,0),0)</f>
        <v>0.65</v>
      </c>
      <c r="S12" s="55" t="n">
        <f aca="false">'Product &amp; Offers'!$E$14</f>
        <v>0.08</v>
      </c>
      <c r="T12" s="55" t="n">
        <f aca="false">I12*Stripe_Pct+Stripe_Fixed</f>
        <v>2.14406</v>
      </c>
      <c r="U12" s="55" t="n">
        <f aca="false">(Q12+R12+S12)*(FF_VAT_Mult-1)</f>
        <v>1.611</v>
      </c>
      <c r="V12" s="55" t="n">
        <f aca="false">N(Countries!$F$9)</f>
        <v>15</v>
      </c>
      <c r="W12" s="55" t="n">
        <f aca="false">Fixed_Per_Order</f>
        <v>1.5844</v>
      </c>
      <c r="X12" s="56" t="n">
        <f aca="false">N(Countries!$G$9)</f>
        <v>0.03</v>
      </c>
      <c r="Y12" s="55" t="n">
        <f aca="false">X12*(L12-M12*P_Resell+(IF(Card_Ret_Label="Yes",Q12,0)+FF_Reverse)*FF_VAT_Mult)</f>
        <v>0.773859831932773</v>
      </c>
      <c r="Z12" s="55" t="n">
        <f aca="false">M12+Q12+R12+S12+T12+U12+V12+W12+Y12</f>
        <v>34.5483198319328</v>
      </c>
      <c r="AA12" s="53" t="str">
        <f aca="false">IF(E12=0,"",IF(NOT(ISNUMBER(Countries!$C$9)),"enter price",IF(O12=0,"pick courier",IF(P12=0,"too heavy","OK"))))</f>
        <v>OK</v>
      </c>
      <c r="AB12" s="55" t="n">
        <f aca="false">IF(AA12="OK",L12-Z12,"")</f>
        <v>-5.22899210084034</v>
      </c>
      <c r="AC12" s="56" t="n">
        <f aca="false">IF(ISNUMBER(AB12),IF(L12&gt;0,AB12/L12,0),"")</f>
        <v>-0.178346248208656</v>
      </c>
      <c r="AD12" s="55" t="n">
        <f aca="false">IF(ISNUMBER(AB12),AB12+V12,"")</f>
        <v>9.77100789915966</v>
      </c>
      <c r="AE12" s="58" t="n">
        <f aca="false">IF(ISNUMBER(AD12),IF(AD12&gt;0,I12/AD12,"never"),"")</f>
        <v>3.57076776112326</v>
      </c>
    </row>
    <row r="13" customFormat="false" ht="15" hidden="false" customHeight="false" outlineLevel="0" collapsed="false">
      <c r="A13" s="53" t="str">
        <f aca="false">Countries!$A$9</f>
        <v>Cyprus</v>
      </c>
      <c r="B13" s="54" t="n">
        <v>2</v>
      </c>
      <c r="C13" s="53" t="str">
        <f aca="false">'Product &amp; Offers'!$B$15</f>
        <v>Buy 2 Get 1 Free</v>
      </c>
      <c r="D13" s="53" t="str">
        <f aca="false">Countries!$B$9</f>
        <v>Geniki</v>
      </c>
      <c r="E13" s="54" t="n">
        <f aca="false">'Product &amp; Offers'!$C$15+'Product &amp; Offers'!$D$15</f>
        <v>3</v>
      </c>
      <c r="F13" s="55" t="n">
        <f aca="false">N(Countries!$C$9)</f>
        <v>29.9</v>
      </c>
      <c r="G13" s="55" t="n">
        <f aca="false">'Product &amp; Offers'!$C$15*F13</f>
        <v>59.8</v>
      </c>
      <c r="H13" s="55" t="n">
        <f aca="false">IF(AND(ISNUMBER(Countries!$E$9),G13&gt;=Countries!$E$9),0,N(Countries!$D$9))</f>
        <v>0</v>
      </c>
      <c r="I13" s="55" t="n">
        <f aca="false">G13+H13</f>
        <v>59.8</v>
      </c>
      <c r="J13" s="56" t="n">
        <f aca="false">IF(VAT_On_Sales="Yes",IFERROR(INDEX(VAT_Rate,MATCH(A13,VAT_Country,0)),0),0)</f>
        <v>0.19</v>
      </c>
      <c r="K13" s="55" t="n">
        <f aca="false">I13-I13/(1+J13)</f>
        <v>9.54789915966386</v>
      </c>
      <c r="L13" s="55" t="n">
        <f aca="false">I13-K13</f>
        <v>50.2521008403361</v>
      </c>
      <c r="M13" s="55" t="n">
        <f aca="false">E13*P_Landed</f>
        <v>16.14</v>
      </c>
      <c r="N13" s="57" t="n">
        <f aca="false">E13*P_Weight+P_PackW</f>
        <v>0.8</v>
      </c>
      <c r="O13" s="54" t="n">
        <f aca="false">IFERROR(MATCH(1,INDEX((Dest_Country=A13)*(Dest_Courier=D13),0),0),0)</f>
        <v>9</v>
      </c>
      <c r="P13" s="55" t="n">
        <f aca="false">IF(O13=0,0,IFERROR(INDEX(Rate_Table,O13,COUNTIF(Rate_Weights,"&lt;"&amp;N13)+1),0))</f>
        <v>7.325</v>
      </c>
      <c r="Q13" s="55" t="n">
        <f aca="false">IF(P13&gt;0,P13*(1+INDEX(Dest_Fuel,O13))+INDEX(Dest_SMS,O13),0)</f>
        <v>7.325</v>
      </c>
      <c r="R13" s="55" t="n">
        <f aca="false">IF(E13&gt;0,FF_Base+FF_Extra_Item*MAX(0,E13-2)+FF_Extra_5kg*ROUNDUP(MAX(0,N13-5)/5,0),0)</f>
        <v>1</v>
      </c>
      <c r="S13" s="55" t="n">
        <f aca="false">'Product &amp; Offers'!$E$15</f>
        <v>0.13</v>
      </c>
      <c r="T13" s="55" t="n">
        <f aca="false">I13*Stripe_Pct+Stripe_Fixed</f>
        <v>3.4892</v>
      </c>
      <c r="U13" s="55" t="n">
        <f aca="false">(Q13+R13+S13)*(FF_VAT_Mult-1)</f>
        <v>1.691</v>
      </c>
      <c r="V13" s="55" t="n">
        <f aca="false">N(Countries!$F$9)</f>
        <v>15</v>
      </c>
      <c r="W13" s="55" t="n">
        <f aca="false">Fixed_Per_Order</f>
        <v>1.5844</v>
      </c>
      <c r="X13" s="56" t="n">
        <f aca="false">N(Countries!$G$9)</f>
        <v>0.03</v>
      </c>
      <c r="Y13" s="55" t="n">
        <f aca="false">X13*(L13-M13*P_Resell+(IF(Card_Ret_Label="Yes",Q13,0)+FF_Reverse)*FF_VAT_Mult)</f>
        <v>1.14360302521008</v>
      </c>
      <c r="Z13" s="55" t="n">
        <f aca="false">M13+Q13+R13+S13+T13+U13+V13+W13+Y13</f>
        <v>47.5032030252101</v>
      </c>
      <c r="AA13" s="53" t="str">
        <f aca="false">IF(E13=0,"",IF(NOT(ISNUMBER(Countries!$C$9)),"enter price",IF(O13=0,"pick courier",IF(P13=0,"too heavy","OK"))))</f>
        <v>OK</v>
      </c>
      <c r="AB13" s="55" t="n">
        <f aca="false">IF(AA13="OK",L13-Z13,"")</f>
        <v>2.74889781512605</v>
      </c>
      <c r="AC13" s="56" t="n">
        <f aca="false">IF(ISNUMBER(AB13),IF(L13&gt;0,AB13/L13,0),"")</f>
        <v>0.0547021471571906</v>
      </c>
      <c r="AD13" s="55" t="n">
        <f aca="false">IF(ISNUMBER(AB13),AB13+V13,"")</f>
        <v>17.7488978151261</v>
      </c>
      <c r="AE13" s="58" t="n">
        <f aca="false">IF(ISNUMBER(AD13),IF(AD13&gt;0,I13/AD13,"never"),"")</f>
        <v>3.36922329616642</v>
      </c>
    </row>
    <row r="14" customFormat="false" ht="15" hidden="false" customHeight="false" outlineLevel="0" collapsed="false">
      <c r="A14" s="53" t="str">
        <f aca="false">Countries!$A$9</f>
        <v>Cyprus</v>
      </c>
      <c r="B14" s="54" t="n">
        <v>3</v>
      </c>
      <c r="C14" s="53" t="str">
        <f aca="false">'Product &amp; Offers'!$B$16</f>
        <v>Buy 1 Get 1 Free</v>
      </c>
      <c r="D14" s="53" t="str">
        <f aca="false">Countries!$B$9</f>
        <v>Geniki</v>
      </c>
      <c r="E14" s="54" t="n">
        <f aca="false">'Product &amp; Offers'!$C$16+'Product &amp; Offers'!$D$16</f>
        <v>2</v>
      </c>
      <c r="F14" s="55" t="n">
        <f aca="false">N(Countries!$C$9)</f>
        <v>29.9</v>
      </c>
      <c r="G14" s="55" t="n">
        <f aca="false">'Product &amp; Offers'!$C$16*F14</f>
        <v>29.9</v>
      </c>
      <c r="H14" s="55" t="n">
        <f aca="false">IF(AND(ISNUMBER(Countries!$E$9),G14&gt;=Countries!$E$9),0,N(Countries!$D$9))</f>
        <v>4.99</v>
      </c>
      <c r="I14" s="55" t="n">
        <f aca="false">G14+H14</f>
        <v>34.89</v>
      </c>
      <c r="J14" s="56" t="n">
        <f aca="false">IF(VAT_On_Sales="Yes",IFERROR(INDEX(VAT_Rate,MATCH(A14,VAT_Country,0)),0),0)</f>
        <v>0.19</v>
      </c>
      <c r="K14" s="55" t="n">
        <f aca="false">I14-I14/(1+J14)</f>
        <v>5.57067226890756</v>
      </c>
      <c r="L14" s="55" t="n">
        <f aca="false">I14-K14</f>
        <v>29.3193277310924</v>
      </c>
      <c r="M14" s="55" t="n">
        <f aca="false">E14*P_Landed</f>
        <v>10.76</v>
      </c>
      <c r="N14" s="57" t="n">
        <f aca="false">E14*P_Weight+P_PackW</f>
        <v>0.55</v>
      </c>
      <c r="O14" s="54" t="n">
        <f aca="false">IFERROR(MATCH(1,INDEX((Dest_Country=A14)*(Dest_Courier=D14),0),0),0)</f>
        <v>9</v>
      </c>
      <c r="P14" s="55" t="n">
        <f aca="false">IF(O14=0,0,IFERROR(INDEX(Rate_Table,O14,COUNTIF(Rate_Weights,"&lt;"&amp;N14)+1),0))</f>
        <v>7.325</v>
      </c>
      <c r="Q14" s="55" t="n">
        <f aca="false">IF(P14&gt;0,P14*(1+INDEX(Dest_Fuel,O14))+INDEX(Dest_SMS,O14),0)</f>
        <v>7.325</v>
      </c>
      <c r="R14" s="55" t="n">
        <f aca="false">IF(E14&gt;0,FF_Base+FF_Extra_Item*MAX(0,E14-2)+FF_Extra_5kg*ROUNDUP(MAX(0,N14-5)/5,0),0)</f>
        <v>0.65</v>
      </c>
      <c r="S14" s="55" t="n">
        <f aca="false">'Product &amp; Offers'!$E$16</f>
        <v>0.08</v>
      </c>
      <c r="T14" s="55" t="n">
        <f aca="false">I14*Stripe_Pct+Stripe_Fixed</f>
        <v>2.14406</v>
      </c>
      <c r="U14" s="55" t="n">
        <f aca="false">(Q14+R14+S14)*(FF_VAT_Mult-1)</f>
        <v>1.611</v>
      </c>
      <c r="V14" s="55" t="n">
        <f aca="false">N(Countries!$F$9)</f>
        <v>15</v>
      </c>
      <c r="W14" s="55" t="n">
        <f aca="false">Fixed_Per_Order</f>
        <v>1.5844</v>
      </c>
      <c r="X14" s="56" t="n">
        <f aca="false">N(Countries!$G$9)</f>
        <v>0.03</v>
      </c>
      <c r="Y14" s="55" t="n">
        <f aca="false">X14*(L14-M14*P_Resell+(IF(Card_Ret_Label="Yes",Q14,0)+FF_Reverse)*FF_VAT_Mult)</f>
        <v>0.644739831932773</v>
      </c>
      <c r="Z14" s="55" t="n">
        <f aca="false">M14+Q14+R14+S14+T14+U14+V14+W14+Y14</f>
        <v>39.7991998319328</v>
      </c>
      <c r="AA14" s="53" t="str">
        <f aca="false">IF(E14=0,"",IF(NOT(ISNUMBER(Countries!$C$9)),"enter price",IF(O14=0,"pick courier",IF(P14=0,"too heavy","OK"))))</f>
        <v>OK</v>
      </c>
      <c r="AB14" s="55" t="n">
        <f aca="false">IF(AA14="OK",L14-Z14,"")</f>
        <v>-10.4798721008403</v>
      </c>
      <c r="AC14" s="56" t="n">
        <f aca="false">IF(ISNUMBER(AB14),IF(L14&gt;0,AB14/L14,0),"")</f>
        <v>-0.357439031241043</v>
      </c>
      <c r="AD14" s="55" t="n">
        <f aca="false">IF(ISNUMBER(AB14),AB14+V14,"")</f>
        <v>4.52012789915966</v>
      </c>
      <c r="AE14" s="58" t="n">
        <f aca="false">IF(ISNUMBER(AD14),IF(AD14&gt;0,I14/AD14,"never"),"")</f>
        <v>7.7188081351606</v>
      </c>
    </row>
    <row r="15" customFormat="false" ht="15" hidden="false" customHeight="false" outlineLevel="0" collapsed="false">
      <c r="A15" s="53" t="str">
        <f aca="false">Countries!$A$10</f>
        <v>Hungary</v>
      </c>
      <c r="B15" s="54" t="n">
        <v>1</v>
      </c>
      <c r="C15" s="53" t="str">
        <f aca="false">'Product &amp; Offers'!$B$14</f>
        <v>Buy 1</v>
      </c>
      <c r="D15" s="53" t="str">
        <f aca="false">Countries!$B$10</f>
        <v>Sameday HU</v>
      </c>
      <c r="E15" s="54" t="n">
        <f aca="false">'Product &amp; Offers'!$C$14+'Product &amp; Offers'!$D$14</f>
        <v>1</v>
      </c>
      <c r="F15" s="55" t="n">
        <f aca="false">N(Countries!$C$10)</f>
        <v>29.9</v>
      </c>
      <c r="G15" s="55" t="n">
        <f aca="false">'Product &amp; Offers'!$C$14*F15</f>
        <v>29.9</v>
      </c>
      <c r="H15" s="55" t="n">
        <f aca="false">IF(AND(ISNUMBER(Countries!$E$10),G15&gt;=Countries!$E$10),0,N(Countries!$D$10))</f>
        <v>4.99</v>
      </c>
      <c r="I15" s="55" t="n">
        <f aca="false">G15+H15</f>
        <v>34.89</v>
      </c>
      <c r="J15" s="56" t="n">
        <f aca="false">IF(VAT_On_Sales="Yes",IFERROR(INDEX(VAT_Rate,MATCH(A15,VAT_Country,0)),0),0)</f>
        <v>0.27</v>
      </c>
      <c r="K15" s="55" t="n">
        <f aca="false">I15-I15/(1+J15)</f>
        <v>7.41755905511811</v>
      </c>
      <c r="L15" s="55" t="n">
        <f aca="false">I15-K15</f>
        <v>27.4724409448819</v>
      </c>
      <c r="M15" s="55" t="n">
        <f aca="false">E15*P_Landed</f>
        <v>5.38</v>
      </c>
      <c r="N15" s="57" t="n">
        <f aca="false">E15*P_Weight+P_PackW</f>
        <v>0.3</v>
      </c>
      <c r="O15" s="54" t="n">
        <f aca="false">IFERROR(MATCH(1,INDEX((Dest_Country=A15)*(Dest_Courier=D15),0),0),0)</f>
        <v>11</v>
      </c>
      <c r="P15" s="55" t="n">
        <f aca="false">IF(O15=0,0,IFERROR(INDEX(Rate_Table,O15,COUNTIF(Rate_Weights,"&lt;"&amp;N15)+1),0))</f>
        <v>3.9734375</v>
      </c>
      <c r="Q15" s="55" t="n">
        <f aca="false">IF(P15&gt;0,P15*(1+INDEX(Dest_Fuel,O15))+INDEX(Dest_SMS,O15),0)</f>
        <v>3.9734375</v>
      </c>
      <c r="R15" s="55" t="n">
        <f aca="false">IF(E15&gt;0,FF_Base+FF_Extra_Item*MAX(0,E15-2)+FF_Extra_5kg*ROUNDUP(MAX(0,N15-5)/5,0),0)</f>
        <v>0.65</v>
      </c>
      <c r="S15" s="55" t="n">
        <f aca="false">'Product &amp; Offers'!$E$14</f>
        <v>0.08</v>
      </c>
      <c r="T15" s="55" t="n">
        <f aca="false">I15*Stripe_Pct+Stripe_Fixed</f>
        <v>2.14406</v>
      </c>
      <c r="U15" s="55" t="n">
        <f aca="false">(Q15+R15+S15)*(FF_VAT_Mult-1)</f>
        <v>0.9406875</v>
      </c>
      <c r="V15" s="55" t="n">
        <f aca="false">N(Countries!$F$10)</f>
        <v>15</v>
      </c>
      <c r="W15" s="55" t="n">
        <f aca="false">Fixed_Per_Order</f>
        <v>1.5844</v>
      </c>
      <c r="X15" s="56" t="n">
        <f aca="false">N(Countries!$G$10)</f>
        <v>0.03</v>
      </c>
      <c r="Y15" s="55" t="n">
        <f aca="false">X15*(L15-M15*P_Resell+(IF(Card_Ret_Label="Yes",Q15,0)+FF_Reverse)*FF_VAT_Mult)</f>
        <v>0.718453228346457</v>
      </c>
      <c r="Z15" s="55" t="n">
        <f aca="false">M15+Q15+R15+S15+T15+U15+V15+W15+Y15</f>
        <v>30.4710382283465</v>
      </c>
      <c r="AA15" s="53" t="str">
        <f aca="false">IF(E15=0,"",IF(NOT(ISNUMBER(Countries!$C$10)),"enter price",IF(O15=0,"pick courier",IF(P15=0,"too heavy","OK"))))</f>
        <v>OK</v>
      </c>
      <c r="AB15" s="55" t="n">
        <f aca="false">IF(AA15="OK",L15-Z15,"")</f>
        <v>-2.99859728346457</v>
      </c>
      <c r="AC15" s="56" t="n">
        <f aca="false">IF(ISNUMBER(AB15),IF(L15&gt;0,AB15/L15,0),"")</f>
        <v>-0.109149284895386</v>
      </c>
      <c r="AD15" s="55" t="n">
        <f aca="false">IF(ISNUMBER(AB15),AB15+V15,"")</f>
        <v>12.0014027165354</v>
      </c>
      <c r="AE15" s="58" t="n">
        <f aca="false">IF(ISNUMBER(AD15),IF(AD15&gt;0,I15/AD15,"never"),"")</f>
        <v>2.90716017319616</v>
      </c>
    </row>
    <row r="16" customFormat="false" ht="15" hidden="false" customHeight="false" outlineLevel="0" collapsed="false">
      <c r="A16" s="53" t="str">
        <f aca="false">Countries!$A$10</f>
        <v>Hungary</v>
      </c>
      <c r="B16" s="54" t="n">
        <v>2</v>
      </c>
      <c r="C16" s="53" t="str">
        <f aca="false">'Product &amp; Offers'!$B$15</f>
        <v>Buy 2 Get 1 Free</v>
      </c>
      <c r="D16" s="53" t="str">
        <f aca="false">Countries!$B$10</f>
        <v>Sameday HU</v>
      </c>
      <c r="E16" s="54" t="n">
        <f aca="false">'Product &amp; Offers'!$C$15+'Product &amp; Offers'!$D$15</f>
        <v>3</v>
      </c>
      <c r="F16" s="55" t="n">
        <f aca="false">N(Countries!$C$10)</f>
        <v>29.9</v>
      </c>
      <c r="G16" s="55" t="n">
        <f aca="false">'Product &amp; Offers'!$C$15*F16</f>
        <v>59.8</v>
      </c>
      <c r="H16" s="55" t="n">
        <f aca="false">IF(AND(ISNUMBER(Countries!$E$10),G16&gt;=Countries!$E$10),0,N(Countries!$D$10))</f>
        <v>0</v>
      </c>
      <c r="I16" s="55" t="n">
        <f aca="false">G16+H16</f>
        <v>59.8</v>
      </c>
      <c r="J16" s="56" t="n">
        <f aca="false">IF(VAT_On_Sales="Yes",IFERROR(INDEX(VAT_Rate,MATCH(A16,VAT_Country,0)),0),0)</f>
        <v>0.27</v>
      </c>
      <c r="K16" s="55" t="n">
        <f aca="false">I16-I16/(1+J16)</f>
        <v>12.7133858267717</v>
      </c>
      <c r="L16" s="55" t="n">
        <f aca="false">I16-K16</f>
        <v>47.0866141732283</v>
      </c>
      <c r="M16" s="55" t="n">
        <f aca="false">E16*P_Landed</f>
        <v>16.14</v>
      </c>
      <c r="N16" s="57" t="n">
        <f aca="false">E16*P_Weight+P_PackW</f>
        <v>0.8</v>
      </c>
      <c r="O16" s="54" t="n">
        <f aca="false">IFERROR(MATCH(1,INDEX((Dest_Country=A16)*(Dest_Courier=D16),0),0),0)</f>
        <v>11</v>
      </c>
      <c r="P16" s="55" t="n">
        <f aca="false">IF(O16=0,0,IFERROR(INDEX(Rate_Table,O16,COUNTIF(Rate_Weights,"&lt;"&amp;N16)+1),0))</f>
        <v>3.9734375</v>
      </c>
      <c r="Q16" s="55" t="n">
        <f aca="false">IF(P16&gt;0,P16*(1+INDEX(Dest_Fuel,O16))+INDEX(Dest_SMS,O16),0)</f>
        <v>3.9734375</v>
      </c>
      <c r="R16" s="55" t="n">
        <f aca="false">IF(E16&gt;0,FF_Base+FF_Extra_Item*MAX(0,E16-2)+FF_Extra_5kg*ROUNDUP(MAX(0,N16-5)/5,0),0)</f>
        <v>1</v>
      </c>
      <c r="S16" s="55" t="n">
        <f aca="false">'Product &amp; Offers'!$E$15</f>
        <v>0.13</v>
      </c>
      <c r="T16" s="55" t="n">
        <f aca="false">I16*Stripe_Pct+Stripe_Fixed</f>
        <v>3.4892</v>
      </c>
      <c r="U16" s="55" t="n">
        <f aca="false">(Q16+R16+S16)*(FF_VAT_Mult-1)</f>
        <v>1.0206875</v>
      </c>
      <c r="V16" s="55" t="n">
        <f aca="false">N(Countries!$F$10)</f>
        <v>15</v>
      </c>
      <c r="W16" s="55" t="n">
        <f aca="false">Fixed_Per_Order</f>
        <v>1.5844</v>
      </c>
      <c r="X16" s="56" t="n">
        <f aca="false">N(Countries!$G$10)</f>
        <v>0.03</v>
      </c>
      <c r="Y16" s="55" t="n">
        <f aca="false">X16*(L16-M16*P_Resell+(IF(Card_Ret_Label="Yes",Q16,0)+FF_Reverse)*FF_VAT_Mult)</f>
        <v>1.04863842519685</v>
      </c>
      <c r="Z16" s="55" t="n">
        <f aca="false">M16+Q16+R16+S16+T16+U16+V16+W16+Y16</f>
        <v>43.3863634251969</v>
      </c>
      <c r="AA16" s="53" t="str">
        <f aca="false">IF(E16=0,"",IF(NOT(ISNUMBER(Countries!$C$10)),"enter price",IF(O16=0,"pick courier",IF(P16=0,"too heavy","OK"))))</f>
        <v>OK</v>
      </c>
      <c r="AB16" s="55" t="n">
        <f aca="false">IF(AA16="OK",L16-Z16,"")</f>
        <v>3.70025074803149</v>
      </c>
      <c r="AC16" s="56" t="n">
        <f aca="false">IF(ISNUMBER(AB16),IF(L16&gt;0,AB16/L16,0),"")</f>
        <v>0.0785839205685617</v>
      </c>
      <c r="AD16" s="55" t="n">
        <f aca="false">IF(ISNUMBER(AB16),AB16+V16,"")</f>
        <v>18.7002507480315</v>
      </c>
      <c r="AE16" s="58" t="n">
        <f aca="false">IF(ISNUMBER(AD16),IF(AD16&gt;0,I16/AD16,"never"),"")</f>
        <v>3.19781808307009</v>
      </c>
    </row>
    <row r="17" customFormat="false" ht="15" hidden="false" customHeight="false" outlineLevel="0" collapsed="false">
      <c r="A17" s="53" t="str">
        <f aca="false">Countries!$A$10</f>
        <v>Hungary</v>
      </c>
      <c r="B17" s="54" t="n">
        <v>3</v>
      </c>
      <c r="C17" s="53" t="str">
        <f aca="false">'Product &amp; Offers'!$B$16</f>
        <v>Buy 1 Get 1 Free</v>
      </c>
      <c r="D17" s="53" t="str">
        <f aca="false">Countries!$B$10</f>
        <v>Sameday HU</v>
      </c>
      <c r="E17" s="54" t="n">
        <f aca="false">'Product &amp; Offers'!$C$16+'Product &amp; Offers'!$D$16</f>
        <v>2</v>
      </c>
      <c r="F17" s="55" t="n">
        <f aca="false">N(Countries!$C$10)</f>
        <v>29.9</v>
      </c>
      <c r="G17" s="55" t="n">
        <f aca="false">'Product &amp; Offers'!$C$16*F17</f>
        <v>29.9</v>
      </c>
      <c r="H17" s="55" t="n">
        <f aca="false">IF(AND(ISNUMBER(Countries!$E$10),G17&gt;=Countries!$E$10),0,N(Countries!$D$10))</f>
        <v>4.99</v>
      </c>
      <c r="I17" s="55" t="n">
        <f aca="false">G17+H17</f>
        <v>34.89</v>
      </c>
      <c r="J17" s="56" t="n">
        <f aca="false">IF(VAT_On_Sales="Yes",IFERROR(INDEX(VAT_Rate,MATCH(A17,VAT_Country,0)),0),0)</f>
        <v>0.27</v>
      </c>
      <c r="K17" s="55" t="n">
        <f aca="false">I17-I17/(1+J17)</f>
        <v>7.41755905511811</v>
      </c>
      <c r="L17" s="55" t="n">
        <f aca="false">I17-K17</f>
        <v>27.4724409448819</v>
      </c>
      <c r="M17" s="55" t="n">
        <f aca="false">E17*P_Landed</f>
        <v>10.76</v>
      </c>
      <c r="N17" s="57" t="n">
        <f aca="false">E17*P_Weight+P_PackW</f>
        <v>0.55</v>
      </c>
      <c r="O17" s="54" t="n">
        <f aca="false">IFERROR(MATCH(1,INDEX((Dest_Country=A17)*(Dest_Courier=D17),0),0),0)</f>
        <v>11</v>
      </c>
      <c r="P17" s="55" t="n">
        <f aca="false">IF(O17=0,0,IFERROR(INDEX(Rate_Table,O17,COUNTIF(Rate_Weights,"&lt;"&amp;N17)+1),0))</f>
        <v>3.9734375</v>
      </c>
      <c r="Q17" s="55" t="n">
        <f aca="false">IF(P17&gt;0,P17*(1+INDEX(Dest_Fuel,O17))+INDEX(Dest_SMS,O17),0)</f>
        <v>3.9734375</v>
      </c>
      <c r="R17" s="55" t="n">
        <f aca="false">IF(E17&gt;0,FF_Base+FF_Extra_Item*MAX(0,E17-2)+FF_Extra_5kg*ROUNDUP(MAX(0,N17-5)/5,0),0)</f>
        <v>0.65</v>
      </c>
      <c r="S17" s="55" t="n">
        <f aca="false">'Product &amp; Offers'!$E$16</f>
        <v>0.08</v>
      </c>
      <c r="T17" s="55" t="n">
        <f aca="false">I17*Stripe_Pct+Stripe_Fixed</f>
        <v>2.14406</v>
      </c>
      <c r="U17" s="55" t="n">
        <f aca="false">(Q17+R17+S17)*(FF_VAT_Mult-1)</f>
        <v>0.9406875</v>
      </c>
      <c r="V17" s="55" t="n">
        <f aca="false">N(Countries!$F$10)</f>
        <v>15</v>
      </c>
      <c r="W17" s="55" t="n">
        <f aca="false">Fixed_Per_Order</f>
        <v>1.5844</v>
      </c>
      <c r="X17" s="56" t="n">
        <f aca="false">N(Countries!$G$10)</f>
        <v>0.03</v>
      </c>
      <c r="Y17" s="55" t="n">
        <f aca="false">X17*(L17-M17*P_Resell+(IF(Card_Ret_Label="Yes",Q17,0)+FF_Reverse)*FF_VAT_Mult)</f>
        <v>0.589333228346457</v>
      </c>
      <c r="Z17" s="55" t="n">
        <f aca="false">M17+Q17+R17+S17+T17+U17+V17+W17+Y17</f>
        <v>35.7219182283465</v>
      </c>
      <c r="AA17" s="53" t="str">
        <f aca="false">IF(E17=0,"",IF(NOT(ISNUMBER(Countries!$C$10)),"enter price",IF(O17=0,"pick courier",IF(P17=0,"too heavy","OK"))))</f>
        <v>OK</v>
      </c>
      <c r="AB17" s="55" t="n">
        <f aca="false">IF(AA17="OK",L17-Z17,"")</f>
        <v>-8.24947728346457</v>
      </c>
      <c r="AC17" s="56" t="n">
        <f aca="false">IF(ISNUMBER(AB17),IF(L17&gt;0,AB17/L17,0),"")</f>
        <v>-0.300281918887934</v>
      </c>
      <c r="AD17" s="55" t="n">
        <f aca="false">IF(ISNUMBER(AB17),AB17+V17,"")</f>
        <v>6.75052271653543</v>
      </c>
      <c r="AE17" s="58" t="n">
        <f aca="false">IF(ISNUMBER(AD17),IF(AD17&gt;0,I17/AD17,"never"),"")</f>
        <v>5.16848864378114</v>
      </c>
    </row>
    <row r="18" customFormat="false" ht="15" hidden="false" customHeight="false" outlineLevel="0" collapsed="false">
      <c r="A18" s="53" t="str">
        <f aca="false">Countries!$A$11</f>
        <v>Poland</v>
      </c>
      <c r="B18" s="54" t="n">
        <v>1</v>
      </c>
      <c r="C18" s="53" t="str">
        <f aca="false">'Product &amp; Offers'!$B$14</f>
        <v>Buy 1</v>
      </c>
      <c r="D18" s="53" t="str">
        <f aca="false">Countries!$B$11</f>
        <v>InPost Home</v>
      </c>
      <c r="E18" s="54" t="n">
        <f aca="false">'Product &amp; Offers'!$C$14+'Product &amp; Offers'!$D$14</f>
        <v>1</v>
      </c>
      <c r="F18" s="55" t="n">
        <f aca="false">N(Countries!$C$11)</f>
        <v>29.9</v>
      </c>
      <c r="G18" s="55" t="n">
        <f aca="false">'Product &amp; Offers'!$C$14*F18</f>
        <v>29.9</v>
      </c>
      <c r="H18" s="55" t="n">
        <f aca="false">IF(AND(ISNUMBER(Countries!$E$11),G18&gt;=Countries!$E$11),0,N(Countries!$D$11))</f>
        <v>4.99</v>
      </c>
      <c r="I18" s="55" t="n">
        <f aca="false">G18+H18</f>
        <v>34.89</v>
      </c>
      <c r="J18" s="56" t="n">
        <f aca="false">IF(VAT_On_Sales="Yes",IFERROR(INDEX(VAT_Rate,MATCH(A18,VAT_Country,0)),0),0)</f>
        <v>0.23</v>
      </c>
      <c r="K18" s="55" t="n">
        <f aca="false">I18-I18/(1+J18)</f>
        <v>6.52414634146341</v>
      </c>
      <c r="L18" s="55" t="n">
        <f aca="false">I18-K18</f>
        <v>28.3658536585366</v>
      </c>
      <c r="M18" s="55" t="n">
        <f aca="false">E18*P_Landed</f>
        <v>5.38</v>
      </c>
      <c r="N18" s="57" t="n">
        <f aca="false">E18*P_Weight+P_PackW</f>
        <v>0.3</v>
      </c>
      <c r="O18" s="54" t="n">
        <f aca="false">IFERROR(MATCH(1,INDEX((Dest_Country=A18)*(Dest_Courier=D18),0),0),0)</f>
        <v>13</v>
      </c>
      <c r="P18" s="55" t="n">
        <f aca="false">IF(O18=0,0,IFERROR(INDEX(Rate_Table,O18,COUNTIF(Rate_Weights,"&lt;"&amp;N18)+1),0))</f>
        <v>5.425</v>
      </c>
      <c r="Q18" s="55" t="n">
        <f aca="false">IF(P18&gt;0,P18*(1+INDEX(Dest_Fuel,O18))+INDEX(Dest_SMS,O18),0)</f>
        <v>5.80475</v>
      </c>
      <c r="R18" s="55" t="n">
        <f aca="false">IF(E18&gt;0,FF_Base+FF_Extra_Item*MAX(0,E18-2)+FF_Extra_5kg*ROUNDUP(MAX(0,N18-5)/5,0),0)</f>
        <v>0.65</v>
      </c>
      <c r="S18" s="55" t="n">
        <f aca="false">'Product &amp; Offers'!$E$14</f>
        <v>0.08</v>
      </c>
      <c r="T18" s="55" t="n">
        <f aca="false">I18*Stripe_Pct+Stripe_Fixed</f>
        <v>2.14406</v>
      </c>
      <c r="U18" s="55" t="n">
        <f aca="false">(Q18+R18+S18)*(FF_VAT_Mult-1)</f>
        <v>1.30695</v>
      </c>
      <c r="V18" s="55" t="n">
        <f aca="false">N(Countries!$F$11)</f>
        <v>15</v>
      </c>
      <c r="W18" s="55" t="n">
        <f aca="false">Fixed_Per_Order</f>
        <v>1.5844</v>
      </c>
      <c r="X18" s="56" t="n">
        <f aca="false">N(Countries!$G$11)</f>
        <v>0.03</v>
      </c>
      <c r="Y18" s="55" t="n">
        <f aca="false">X18*(L18-M18*P_Resell+(IF(Card_Ret_Label="Yes",Q18,0)+FF_Reverse)*FF_VAT_Mult)</f>
        <v>0.745255609756098</v>
      </c>
      <c r="Z18" s="55" t="n">
        <f aca="false">M18+Q18+R18+S18+T18+U18+V18+W18+Y18</f>
        <v>32.6954156097561</v>
      </c>
      <c r="AA18" s="53" t="str">
        <f aca="false">IF(E18=0,"",IF(NOT(ISNUMBER(Countries!$C$11)),"enter price",IF(O18=0,"pick courier",IF(P18=0,"too heavy","OK"))))</f>
        <v>OK</v>
      </c>
      <c r="AB18" s="55" t="n">
        <f aca="false">IF(AA18="OK",L18-Z18,"")</f>
        <v>-4.32956195121951</v>
      </c>
      <c r="AC18" s="56" t="n">
        <f aca="false">IF(ISNUMBER(AB18),IF(L18&gt;0,AB18/L18,0),"")</f>
        <v>-0.152632880481513</v>
      </c>
      <c r="AD18" s="55" t="n">
        <f aca="false">IF(ISNUMBER(AB18),AB18+V18,"")</f>
        <v>10.6704380487805</v>
      </c>
      <c r="AE18" s="58" t="n">
        <f aca="false">IF(ISNUMBER(AD18),IF(AD18&gt;0,I18/AD18,"never"),"")</f>
        <v>3.26978141295591</v>
      </c>
    </row>
    <row r="19" customFormat="false" ht="15" hidden="false" customHeight="false" outlineLevel="0" collapsed="false">
      <c r="A19" s="53" t="str">
        <f aca="false">Countries!$A$11</f>
        <v>Poland</v>
      </c>
      <c r="B19" s="54" t="n">
        <v>2</v>
      </c>
      <c r="C19" s="53" t="str">
        <f aca="false">'Product &amp; Offers'!$B$15</f>
        <v>Buy 2 Get 1 Free</v>
      </c>
      <c r="D19" s="53" t="str">
        <f aca="false">Countries!$B$11</f>
        <v>InPost Home</v>
      </c>
      <c r="E19" s="54" t="n">
        <f aca="false">'Product &amp; Offers'!$C$15+'Product &amp; Offers'!$D$15</f>
        <v>3</v>
      </c>
      <c r="F19" s="55" t="n">
        <f aca="false">N(Countries!$C$11)</f>
        <v>29.9</v>
      </c>
      <c r="G19" s="55" t="n">
        <f aca="false">'Product &amp; Offers'!$C$15*F19</f>
        <v>59.8</v>
      </c>
      <c r="H19" s="55" t="n">
        <f aca="false">IF(AND(ISNUMBER(Countries!$E$11),G19&gt;=Countries!$E$11),0,N(Countries!$D$11))</f>
        <v>0</v>
      </c>
      <c r="I19" s="55" t="n">
        <f aca="false">G19+H19</f>
        <v>59.8</v>
      </c>
      <c r="J19" s="56" t="n">
        <f aca="false">IF(VAT_On_Sales="Yes",IFERROR(INDEX(VAT_Rate,MATCH(A19,VAT_Country,0)),0),0)</f>
        <v>0.23</v>
      </c>
      <c r="K19" s="55" t="n">
        <f aca="false">I19-I19/(1+J19)</f>
        <v>11.1821138211382</v>
      </c>
      <c r="L19" s="55" t="n">
        <f aca="false">I19-K19</f>
        <v>48.6178861788618</v>
      </c>
      <c r="M19" s="55" t="n">
        <f aca="false">E19*P_Landed</f>
        <v>16.14</v>
      </c>
      <c r="N19" s="57" t="n">
        <f aca="false">E19*P_Weight+P_PackW</f>
        <v>0.8</v>
      </c>
      <c r="O19" s="54" t="n">
        <f aca="false">IFERROR(MATCH(1,INDEX((Dest_Country=A19)*(Dest_Courier=D19),0),0),0)</f>
        <v>13</v>
      </c>
      <c r="P19" s="55" t="n">
        <f aca="false">IF(O19=0,0,IFERROR(INDEX(Rate_Table,O19,COUNTIF(Rate_Weights,"&lt;"&amp;N19)+1),0))</f>
        <v>5.425</v>
      </c>
      <c r="Q19" s="55" t="n">
        <f aca="false">IF(P19&gt;0,P19*(1+INDEX(Dest_Fuel,O19))+INDEX(Dest_SMS,O19),0)</f>
        <v>5.80475</v>
      </c>
      <c r="R19" s="55" t="n">
        <f aca="false">IF(E19&gt;0,FF_Base+FF_Extra_Item*MAX(0,E19-2)+FF_Extra_5kg*ROUNDUP(MAX(0,N19-5)/5,0),0)</f>
        <v>1</v>
      </c>
      <c r="S19" s="55" t="n">
        <f aca="false">'Product &amp; Offers'!$E$15</f>
        <v>0.13</v>
      </c>
      <c r="T19" s="55" t="n">
        <f aca="false">I19*Stripe_Pct+Stripe_Fixed</f>
        <v>3.4892</v>
      </c>
      <c r="U19" s="55" t="n">
        <f aca="false">(Q19+R19+S19)*(FF_VAT_Mult-1)</f>
        <v>1.38695</v>
      </c>
      <c r="V19" s="55" t="n">
        <f aca="false">N(Countries!$F$11)</f>
        <v>15</v>
      </c>
      <c r="W19" s="55" t="n">
        <f aca="false">Fixed_Per_Order</f>
        <v>1.5844</v>
      </c>
      <c r="X19" s="56" t="n">
        <f aca="false">N(Countries!$G$11)</f>
        <v>0.03</v>
      </c>
      <c r="Y19" s="55" t="n">
        <f aca="false">X19*(L19-M19*P_Resell+(IF(Card_Ret_Label="Yes",Q19,0)+FF_Reverse)*FF_VAT_Mult)</f>
        <v>1.09457658536585</v>
      </c>
      <c r="Z19" s="55" t="n">
        <f aca="false">M19+Q19+R19+S19+T19+U19+V19+W19+Y19</f>
        <v>45.6298765853659</v>
      </c>
      <c r="AA19" s="53" t="str">
        <f aca="false">IF(E19=0,"",IF(NOT(ISNUMBER(Countries!$C$11)),"enter price",IF(O19=0,"pick courier",IF(P19=0,"too heavy","OK"))))</f>
        <v>OK</v>
      </c>
      <c r="AB19" s="55" t="n">
        <f aca="false">IF(AA19="OK",L19-Z19,"")</f>
        <v>2.98800959349592</v>
      </c>
      <c r="AC19" s="56" t="n">
        <f aca="false">IF(ISNUMBER(AB19),IF(L19&gt;0,AB19/L19,0),"")</f>
        <v>0.0614590602006687</v>
      </c>
      <c r="AD19" s="55" t="n">
        <f aca="false">IF(ISNUMBER(AB19),AB19+V19,"")</f>
        <v>17.9880095934959</v>
      </c>
      <c r="AE19" s="58" t="n">
        <f aca="false">IF(ISNUMBER(AD19),IF(AD19&gt;0,I19/AD19,"never"),"")</f>
        <v>3.32443674155157</v>
      </c>
    </row>
    <row r="20" customFormat="false" ht="15" hidden="false" customHeight="false" outlineLevel="0" collapsed="false">
      <c r="A20" s="53" t="str">
        <f aca="false">Countries!$A$11</f>
        <v>Poland</v>
      </c>
      <c r="B20" s="54" t="n">
        <v>3</v>
      </c>
      <c r="C20" s="53" t="str">
        <f aca="false">'Product &amp; Offers'!$B$16</f>
        <v>Buy 1 Get 1 Free</v>
      </c>
      <c r="D20" s="53" t="str">
        <f aca="false">Countries!$B$11</f>
        <v>InPost Home</v>
      </c>
      <c r="E20" s="54" t="n">
        <f aca="false">'Product &amp; Offers'!$C$16+'Product &amp; Offers'!$D$16</f>
        <v>2</v>
      </c>
      <c r="F20" s="55" t="n">
        <f aca="false">N(Countries!$C$11)</f>
        <v>29.9</v>
      </c>
      <c r="G20" s="55" t="n">
        <f aca="false">'Product &amp; Offers'!$C$16*F20</f>
        <v>29.9</v>
      </c>
      <c r="H20" s="55" t="n">
        <f aca="false">IF(AND(ISNUMBER(Countries!$E$11),G20&gt;=Countries!$E$11),0,N(Countries!$D$11))</f>
        <v>4.99</v>
      </c>
      <c r="I20" s="55" t="n">
        <f aca="false">G20+H20</f>
        <v>34.89</v>
      </c>
      <c r="J20" s="56" t="n">
        <f aca="false">IF(VAT_On_Sales="Yes",IFERROR(INDEX(VAT_Rate,MATCH(A20,VAT_Country,0)),0),0)</f>
        <v>0.23</v>
      </c>
      <c r="K20" s="55" t="n">
        <f aca="false">I20-I20/(1+J20)</f>
        <v>6.52414634146341</v>
      </c>
      <c r="L20" s="55" t="n">
        <f aca="false">I20-K20</f>
        <v>28.3658536585366</v>
      </c>
      <c r="M20" s="55" t="n">
        <f aca="false">E20*P_Landed</f>
        <v>10.76</v>
      </c>
      <c r="N20" s="57" t="n">
        <f aca="false">E20*P_Weight+P_PackW</f>
        <v>0.55</v>
      </c>
      <c r="O20" s="54" t="n">
        <f aca="false">IFERROR(MATCH(1,INDEX((Dest_Country=A20)*(Dest_Courier=D20),0),0),0)</f>
        <v>13</v>
      </c>
      <c r="P20" s="55" t="n">
        <f aca="false">IF(O20=0,0,IFERROR(INDEX(Rate_Table,O20,COUNTIF(Rate_Weights,"&lt;"&amp;N20)+1),0))</f>
        <v>5.425</v>
      </c>
      <c r="Q20" s="55" t="n">
        <f aca="false">IF(P20&gt;0,P20*(1+INDEX(Dest_Fuel,O20))+INDEX(Dest_SMS,O20),0)</f>
        <v>5.80475</v>
      </c>
      <c r="R20" s="55" t="n">
        <f aca="false">IF(E20&gt;0,FF_Base+FF_Extra_Item*MAX(0,E20-2)+FF_Extra_5kg*ROUNDUP(MAX(0,N20-5)/5,0),0)</f>
        <v>0.65</v>
      </c>
      <c r="S20" s="55" t="n">
        <f aca="false">'Product &amp; Offers'!$E$16</f>
        <v>0.08</v>
      </c>
      <c r="T20" s="55" t="n">
        <f aca="false">I20*Stripe_Pct+Stripe_Fixed</f>
        <v>2.14406</v>
      </c>
      <c r="U20" s="55" t="n">
        <f aca="false">(Q20+R20+S20)*(FF_VAT_Mult-1)</f>
        <v>1.30695</v>
      </c>
      <c r="V20" s="55" t="n">
        <f aca="false">N(Countries!$F$11)</f>
        <v>15</v>
      </c>
      <c r="W20" s="55" t="n">
        <f aca="false">Fixed_Per_Order</f>
        <v>1.5844</v>
      </c>
      <c r="X20" s="56" t="n">
        <f aca="false">N(Countries!$G$11)</f>
        <v>0.03</v>
      </c>
      <c r="Y20" s="55" t="n">
        <f aca="false">X20*(L20-M20*P_Resell+(IF(Card_Ret_Label="Yes",Q20,0)+FF_Reverse)*FF_VAT_Mult)</f>
        <v>0.616135609756098</v>
      </c>
      <c r="Z20" s="55" t="n">
        <f aca="false">M20+Q20+R20+S20+T20+U20+V20+W20+Y20</f>
        <v>37.9462956097561</v>
      </c>
      <c r="AA20" s="53" t="str">
        <f aca="false">IF(E20=0,"",IF(NOT(ISNUMBER(Countries!$C$11)),"enter price",IF(O20=0,"pick courier",IF(P20=0,"too heavy","OK"))))</f>
        <v>OK</v>
      </c>
      <c r="AB20" s="55" t="n">
        <f aca="false">IF(AA20="OK",L20-Z20,"")</f>
        <v>-9.58044195121951</v>
      </c>
      <c r="AC20" s="56" t="n">
        <f aca="false">IF(ISNUMBER(AB20),IF(L20&gt;0,AB20/L20,0),"")</f>
        <v>-0.337745588993981</v>
      </c>
      <c r="AD20" s="55" t="n">
        <f aca="false">IF(ISNUMBER(AB20),AB20+V20,"")</f>
        <v>5.41955804878049</v>
      </c>
      <c r="AE20" s="58" t="n">
        <f aca="false">IF(ISNUMBER(AD20),IF(AD20&gt;0,I20/AD20,"never"),"")</f>
        <v>6.43779431569166</v>
      </c>
    </row>
    <row r="21" customFormat="false" ht="15" hidden="false" customHeight="false" outlineLevel="0" collapsed="false">
      <c r="A21" s="53" t="str">
        <f aca="false">Countries!$A$12</f>
        <v>Czech Republic</v>
      </c>
      <c r="B21" s="54" t="n">
        <v>1</v>
      </c>
      <c r="C21" s="53" t="str">
        <f aca="false">'Product &amp; Offers'!$B$14</f>
        <v>Buy 1</v>
      </c>
      <c r="D21" s="53" t="str">
        <f aca="false">Countries!$B$12</f>
        <v>CZ Post</v>
      </c>
      <c r="E21" s="54" t="n">
        <f aca="false">'Product &amp; Offers'!$C$14+'Product &amp; Offers'!$D$14</f>
        <v>1</v>
      </c>
      <c r="F21" s="55" t="n">
        <f aca="false">N(Countries!$C$12)</f>
        <v>29.9</v>
      </c>
      <c r="G21" s="55" t="n">
        <f aca="false">'Product &amp; Offers'!$C$14*F21</f>
        <v>29.9</v>
      </c>
      <c r="H21" s="55" t="n">
        <f aca="false">IF(AND(ISNUMBER(Countries!$E$12),G21&gt;=Countries!$E$12),0,N(Countries!$D$12))</f>
        <v>4.99</v>
      </c>
      <c r="I21" s="55" t="n">
        <f aca="false">G21+H21</f>
        <v>34.89</v>
      </c>
      <c r="J21" s="56" t="n">
        <f aca="false">IF(VAT_On_Sales="Yes",IFERROR(INDEX(VAT_Rate,MATCH(A21,VAT_Country,0)),0),0)</f>
        <v>0.21</v>
      </c>
      <c r="K21" s="55" t="n">
        <f aca="false">I21-I21/(1+J21)</f>
        <v>6.05528925619835</v>
      </c>
      <c r="L21" s="55" t="n">
        <f aca="false">I21-K21</f>
        <v>28.8347107438017</v>
      </c>
      <c r="M21" s="55" t="n">
        <f aca="false">E21*P_Landed</f>
        <v>5.38</v>
      </c>
      <c r="N21" s="57" t="n">
        <f aca="false">E21*P_Weight+P_PackW</f>
        <v>0.3</v>
      </c>
      <c r="O21" s="54" t="n">
        <f aca="false">IFERROR(MATCH(1,INDEX((Dest_Country=A21)*(Dest_Courier=D21),0),0),0)</f>
        <v>15</v>
      </c>
      <c r="P21" s="55" t="n">
        <f aca="false">IF(O21=0,0,IFERROR(INDEX(Rate_Table,O21,COUNTIF(Rate_Weights,"&lt;"&amp;N21)+1),0))</f>
        <v>4.9</v>
      </c>
      <c r="Q21" s="55" t="n">
        <f aca="false">IF(P21&gt;0,P21*(1+INDEX(Dest_Fuel,O21))+INDEX(Dest_SMS,O21),0)</f>
        <v>4.9</v>
      </c>
      <c r="R21" s="55" t="n">
        <f aca="false">IF(E21&gt;0,FF_Base+FF_Extra_Item*MAX(0,E21-2)+FF_Extra_5kg*ROUNDUP(MAX(0,N21-5)/5,0),0)</f>
        <v>0.65</v>
      </c>
      <c r="S21" s="55" t="n">
        <f aca="false">'Product &amp; Offers'!$E$14</f>
        <v>0.08</v>
      </c>
      <c r="T21" s="55" t="n">
        <f aca="false">I21*Stripe_Pct+Stripe_Fixed</f>
        <v>2.14406</v>
      </c>
      <c r="U21" s="55" t="n">
        <f aca="false">(Q21+R21+S21)*(FF_VAT_Mult-1)</f>
        <v>1.126</v>
      </c>
      <c r="V21" s="55" t="n">
        <f aca="false">N(Countries!$F$12)</f>
        <v>15</v>
      </c>
      <c r="W21" s="55" t="n">
        <f aca="false">Fixed_Per_Order</f>
        <v>1.5844</v>
      </c>
      <c r="X21" s="56" t="n">
        <f aca="false">N(Countries!$G$12)</f>
        <v>0.03</v>
      </c>
      <c r="Y21" s="55" t="n">
        <f aca="false">X21*(L21-M21*P_Resell+(IF(Card_Ret_Label="Yes",Q21,0)+FF_Reverse)*FF_VAT_Mult)</f>
        <v>0.75932132231405</v>
      </c>
      <c r="Z21" s="55" t="n">
        <f aca="false">M21+Q21+R21+S21+T21+U21+V21+W21+Y21</f>
        <v>31.6237813223141</v>
      </c>
      <c r="AA21" s="53" t="str">
        <f aca="false">IF(E21=0,"",IF(NOT(ISNUMBER(Countries!$C$12)),"enter price",IF(O21=0,"pick courier",IF(P21=0,"too heavy","OK"))))</f>
        <v>OK</v>
      </c>
      <c r="AB21" s="55" t="n">
        <f aca="false">IF(AA21="OK",L21-Z21,"")</f>
        <v>-2.78907057851239</v>
      </c>
      <c r="AC21" s="56" t="n">
        <f aca="false">IF(ISNUMBER(AB21),IF(L21&gt;0,AB21/L21,0),"")</f>
        <v>-0.0967261507595299</v>
      </c>
      <c r="AD21" s="55" t="n">
        <f aca="false">IF(ISNUMBER(AB21),AB21+V21,"")</f>
        <v>12.2109294214876</v>
      </c>
      <c r="AE21" s="58" t="n">
        <f aca="false">IF(ISNUMBER(AD21),IF(AD21&gt;0,I21/AD21,"never"),"")</f>
        <v>2.85727636248589</v>
      </c>
    </row>
    <row r="22" customFormat="false" ht="15" hidden="false" customHeight="false" outlineLevel="0" collapsed="false">
      <c r="A22" s="53" t="str">
        <f aca="false">Countries!$A$12</f>
        <v>Czech Republic</v>
      </c>
      <c r="B22" s="54" t="n">
        <v>2</v>
      </c>
      <c r="C22" s="53" t="str">
        <f aca="false">'Product &amp; Offers'!$B$15</f>
        <v>Buy 2 Get 1 Free</v>
      </c>
      <c r="D22" s="53" t="str">
        <f aca="false">Countries!$B$12</f>
        <v>CZ Post</v>
      </c>
      <c r="E22" s="54" t="n">
        <f aca="false">'Product &amp; Offers'!$C$15+'Product &amp; Offers'!$D$15</f>
        <v>3</v>
      </c>
      <c r="F22" s="55" t="n">
        <f aca="false">N(Countries!$C$12)</f>
        <v>29.9</v>
      </c>
      <c r="G22" s="55" t="n">
        <f aca="false">'Product &amp; Offers'!$C$15*F22</f>
        <v>59.8</v>
      </c>
      <c r="H22" s="55" t="n">
        <f aca="false">IF(AND(ISNUMBER(Countries!$E$12),G22&gt;=Countries!$E$12),0,N(Countries!$D$12))</f>
        <v>0</v>
      </c>
      <c r="I22" s="55" t="n">
        <f aca="false">G22+H22</f>
        <v>59.8</v>
      </c>
      <c r="J22" s="56" t="n">
        <f aca="false">IF(VAT_On_Sales="Yes",IFERROR(INDEX(VAT_Rate,MATCH(A22,VAT_Country,0)),0),0)</f>
        <v>0.21</v>
      </c>
      <c r="K22" s="55" t="n">
        <f aca="false">I22-I22/(1+J22)</f>
        <v>10.3785123966942</v>
      </c>
      <c r="L22" s="55" t="n">
        <f aca="false">I22-K22</f>
        <v>49.4214876033058</v>
      </c>
      <c r="M22" s="55" t="n">
        <f aca="false">E22*P_Landed</f>
        <v>16.14</v>
      </c>
      <c r="N22" s="57" t="n">
        <f aca="false">E22*P_Weight+P_PackW</f>
        <v>0.8</v>
      </c>
      <c r="O22" s="54" t="n">
        <f aca="false">IFERROR(MATCH(1,INDEX((Dest_Country=A22)*(Dest_Courier=D22),0),0),0)</f>
        <v>15</v>
      </c>
      <c r="P22" s="55" t="n">
        <f aca="false">IF(O22=0,0,IFERROR(INDEX(Rate_Table,O22,COUNTIF(Rate_Weights,"&lt;"&amp;N22)+1),0))</f>
        <v>4.9</v>
      </c>
      <c r="Q22" s="55" t="n">
        <f aca="false">IF(P22&gt;0,P22*(1+INDEX(Dest_Fuel,O22))+INDEX(Dest_SMS,O22),0)</f>
        <v>4.9</v>
      </c>
      <c r="R22" s="55" t="n">
        <f aca="false">IF(E22&gt;0,FF_Base+FF_Extra_Item*MAX(0,E22-2)+FF_Extra_5kg*ROUNDUP(MAX(0,N22-5)/5,0),0)</f>
        <v>1</v>
      </c>
      <c r="S22" s="55" t="n">
        <f aca="false">'Product &amp; Offers'!$E$15</f>
        <v>0.13</v>
      </c>
      <c r="T22" s="55" t="n">
        <f aca="false">I22*Stripe_Pct+Stripe_Fixed</f>
        <v>3.4892</v>
      </c>
      <c r="U22" s="55" t="n">
        <f aca="false">(Q22+R22+S22)*(FF_VAT_Mult-1)</f>
        <v>1.206</v>
      </c>
      <c r="V22" s="55" t="n">
        <f aca="false">N(Countries!$F$12)</f>
        <v>15</v>
      </c>
      <c r="W22" s="55" t="n">
        <f aca="false">Fixed_Per_Order</f>
        <v>1.5844</v>
      </c>
      <c r="X22" s="56" t="n">
        <f aca="false">N(Countries!$G$12)</f>
        <v>0.03</v>
      </c>
      <c r="Y22" s="55" t="n">
        <f aca="false">X22*(L22-M22*P_Resell+(IF(Card_Ret_Label="Yes",Q22,0)+FF_Reverse)*FF_VAT_Mult)</f>
        <v>1.11868462809917</v>
      </c>
      <c r="Z22" s="55" t="n">
        <f aca="false">M22+Q22+R22+S22+T22+U22+V22+W22+Y22</f>
        <v>44.5682846280992</v>
      </c>
      <c r="AA22" s="53" t="str">
        <f aca="false">IF(E22=0,"",IF(NOT(ISNUMBER(Countries!$C$12)),"enter price",IF(O22=0,"pick courier",IF(P22=0,"too heavy","OK"))))</f>
        <v>OK</v>
      </c>
      <c r="AB22" s="55" t="n">
        <f aca="false">IF(AA22="OK",L22-Z22,"")</f>
        <v>4.85320297520661</v>
      </c>
      <c r="AC22" s="56" t="n">
        <f aca="false">IF(ISNUMBER(AB22),IF(L22&gt;0,AB22/L22,0),"")</f>
        <v>0.0982002608695651</v>
      </c>
      <c r="AD22" s="55" t="n">
        <f aca="false">IF(ISNUMBER(AB22),AB22+V22,"")</f>
        <v>19.8532029752066</v>
      </c>
      <c r="AE22" s="58" t="n">
        <f aca="false">IF(ISNUMBER(AD22),IF(AD22&gt;0,I22/AD22,"never"),"")</f>
        <v>3.01210842777764</v>
      </c>
    </row>
    <row r="23" customFormat="false" ht="15" hidden="false" customHeight="false" outlineLevel="0" collapsed="false">
      <c r="A23" s="53" t="str">
        <f aca="false">Countries!$A$12</f>
        <v>Czech Republic</v>
      </c>
      <c r="B23" s="54" t="n">
        <v>3</v>
      </c>
      <c r="C23" s="53" t="str">
        <f aca="false">'Product &amp; Offers'!$B$16</f>
        <v>Buy 1 Get 1 Free</v>
      </c>
      <c r="D23" s="53" t="str">
        <f aca="false">Countries!$B$12</f>
        <v>CZ Post</v>
      </c>
      <c r="E23" s="54" t="n">
        <f aca="false">'Product &amp; Offers'!$C$16+'Product &amp; Offers'!$D$16</f>
        <v>2</v>
      </c>
      <c r="F23" s="55" t="n">
        <f aca="false">N(Countries!$C$12)</f>
        <v>29.9</v>
      </c>
      <c r="G23" s="55" t="n">
        <f aca="false">'Product &amp; Offers'!$C$16*F23</f>
        <v>29.9</v>
      </c>
      <c r="H23" s="55" t="n">
        <f aca="false">IF(AND(ISNUMBER(Countries!$E$12),G23&gt;=Countries!$E$12),0,N(Countries!$D$12))</f>
        <v>4.99</v>
      </c>
      <c r="I23" s="55" t="n">
        <f aca="false">G23+H23</f>
        <v>34.89</v>
      </c>
      <c r="J23" s="56" t="n">
        <f aca="false">IF(VAT_On_Sales="Yes",IFERROR(INDEX(VAT_Rate,MATCH(A23,VAT_Country,0)),0),0)</f>
        <v>0.21</v>
      </c>
      <c r="K23" s="55" t="n">
        <f aca="false">I23-I23/(1+J23)</f>
        <v>6.05528925619835</v>
      </c>
      <c r="L23" s="55" t="n">
        <f aca="false">I23-K23</f>
        <v>28.8347107438017</v>
      </c>
      <c r="M23" s="55" t="n">
        <f aca="false">E23*P_Landed</f>
        <v>10.76</v>
      </c>
      <c r="N23" s="57" t="n">
        <f aca="false">E23*P_Weight+P_PackW</f>
        <v>0.55</v>
      </c>
      <c r="O23" s="54" t="n">
        <f aca="false">IFERROR(MATCH(1,INDEX((Dest_Country=A23)*(Dest_Courier=D23),0),0),0)</f>
        <v>15</v>
      </c>
      <c r="P23" s="55" t="n">
        <f aca="false">IF(O23=0,0,IFERROR(INDEX(Rate_Table,O23,COUNTIF(Rate_Weights,"&lt;"&amp;N23)+1),0))</f>
        <v>4.9</v>
      </c>
      <c r="Q23" s="55" t="n">
        <f aca="false">IF(P23&gt;0,P23*(1+INDEX(Dest_Fuel,O23))+INDEX(Dest_SMS,O23),0)</f>
        <v>4.9</v>
      </c>
      <c r="R23" s="55" t="n">
        <f aca="false">IF(E23&gt;0,FF_Base+FF_Extra_Item*MAX(0,E23-2)+FF_Extra_5kg*ROUNDUP(MAX(0,N23-5)/5,0),0)</f>
        <v>0.65</v>
      </c>
      <c r="S23" s="55" t="n">
        <f aca="false">'Product &amp; Offers'!$E$16</f>
        <v>0.08</v>
      </c>
      <c r="T23" s="55" t="n">
        <f aca="false">I23*Stripe_Pct+Stripe_Fixed</f>
        <v>2.14406</v>
      </c>
      <c r="U23" s="55" t="n">
        <f aca="false">(Q23+R23+S23)*(FF_VAT_Mult-1)</f>
        <v>1.126</v>
      </c>
      <c r="V23" s="55" t="n">
        <f aca="false">N(Countries!$F$12)</f>
        <v>15</v>
      </c>
      <c r="W23" s="55" t="n">
        <f aca="false">Fixed_Per_Order</f>
        <v>1.5844</v>
      </c>
      <c r="X23" s="56" t="n">
        <f aca="false">N(Countries!$G$12)</f>
        <v>0.03</v>
      </c>
      <c r="Y23" s="55" t="n">
        <f aca="false">X23*(L23-M23*P_Resell+(IF(Card_Ret_Label="Yes",Q23,0)+FF_Reverse)*FF_VAT_Mult)</f>
        <v>0.63020132231405</v>
      </c>
      <c r="Z23" s="55" t="n">
        <f aca="false">M23+Q23+R23+S23+T23+U23+V23+W23+Y23</f>
        <v>36.8746613223141</v>
      </c>
      <c r="AA23" s="53" t="str">
        <f aca="false">IF(E23=0,"",IF(NOT(ISNUMBER(Countries!$C$12)),"enter price",IF(O23=0,"pick courier",IF(P23=0,"too heavy","OK"))))</f>
        <v>OK</v>
      </c>
      <c r="AB23" s="55" t="n">
        <f aca="false">IF(AA23="OK",L23-Z23,"")</f>
        <v>-8.03995057851239</v>
      </c>
      <c r="AC23" s="56" t="n">
        <f aca="false">IF(ISNUMBER(AB23),IF(L23&gt;0,AB23/L23,0),"")</f>
        <v>-0.278828896531957</v>
      </c>
      <c r="AD23" s="55" t="n">
        <f aca="false">IF(ISNUMBER(AB23),AB23+V23,"")</f>
        <v>6.96004942148761</v>
      </c>
      <c r="AE23" s="58" t="n">
        <f aca="false">IF(ISNUMBER(AD23),IF(AD23&gt;0,I23/AD23,"never"),"")</f>
        <v>5.01289543897273</v>
      </c>
    </row>
    <row r="24" customFormat="false" ht="15" hidden="false" customHeight="false" outlineLevel="0" collapsed="false">
      <c r="A24" s="53" t="str">
        <f aca="false">Countries!$A$13</f>
        <v>Slovakia</v>
      </c>
      <c r="B24" s="54" t="n">
        <v>1</v>
      </c>
      <c r="C24" s="53" t="str">
        <f aca="false">'Product &amp; Offers'!$B$14</f>
        <v>Buy 1</v>
      </c>
      <c r="D24" s="53" t="str">
        <f aca="false">Countries!$B$13</f>
        <v>SPS</v>
      </c>
      <c r="E24" s="54" t="n">
        <f aca="false">'Product &amp; Offers'!$C$14+'Product &amp; Offers'!$D$14</f>
        <v>1</v>
      </c>
      <c r="F24" s="55" t="n">
        <f aca="false">N(Countries!$C$13)</f>
        <v>29.9</v>
      </c>
      <c r="G24" s="55" t="n">
        <f aca="false">'Product &amp; Offers'!$C$14*F24</f>
        <v>29.9</v>
      </c>
      <c r="H24" s="55" t="n">
        <f aca="false">IF(AND(ISNUMBER(Countries!$E$13),G24&gt;=Countries!$E$13),0,N(Countries!$D$13))</f>
        <v>4.99</v>
      </c>
      <c r="I24" s="55" t="n">
        <f aca="false">G24+H24</f>
        <v>34.89</v>
      </c>
      <c r="J24" s="56" t="n">
        <f aca="false">IF(VAT_On_Sales="Yes",IFERROR(INDEX(VAT_Rate,MATCH(A24,VAT_Country,0)),0),0)</f>
        <v>0.23</v>
      </c>
      <c r="K24" s="55" t="n">
        <f aca="false">I24-I24/(1+J24)</f>
        <v>6.52414634146341</v>
      </c>
      <c r="L24" s="55" t="n">
        <f aca="false">I24-K24</f>
        <v>28.3658536585366</v>
      </c>
      <c r="M24" s="55" t="n">
        <f aca="false">E24*P_Landed</f>
        <v>5.38</v>
      </c>
      <c r="N24" s="57" t="n">
        <f aca="false">E24*P_Weight+P_PackW</f>
        <v>0.3</v>
      </c>
      <c r="O24" s="54" t="n">
        <f aca="false">IFERROR(MATCH(1,INDEX((Dest_Country=A24)*(Dest_Courier=D24),0),0),0)</f>
        <v>16</v>
      </c>
      <c r="P24" s="55" t="n">
        <f aca="false">IF(O24=0,0,IFERROR(INDEX(Rate_Table,O24,COUNTIF(Rate_Weights,"&lt;"&amp;N24)+1),0))</f>
        <v>4.7875</v>
      </c>
      <c r="Q24" s="55" t="n">
        <f aca="false">IF(P24&gt;0,P24*(1+INDEX(Dest_Fuel,O24))+INDEX(Dest_SMS,O24),0)</f>
        <v>5.026875</v>
      </c>
      <c r="R24" s="55" t="n">
        <f aca="false">IF(E24&gt;0,FF_Base+FF_Extra_Item*MAX(0,E24-2)+FF_Extra_5kg*ROUNDUP(MAX(0,N24-5)/5,0),0)</f>
        <v>0.65</v>
      </c>
      <c r="S24" s="55" t="n">
        <f aca="false">'Product &amp; Offers'!$E$14</f>
        <v>0.08</v>
      </c>
      <c r="T24" s="55" t="n">
        <f aca="false">I24*Stripe_Pct+Stripe_Fixed</f>
        <v>2.14406</v>
      </c>
      <c r="U24" s="55" t="n">
        <f aca="false">(Q24+R24+S24)*(FF_VAT_Mult-1)</f>
        <v>1.151375</v>
      </c>
      <c r="V24" s="55" t="n">
        <f aca="false">N(Countries!$F$13)</f>
        <v>15</v>
      </c>
      <c r="W24" s="55" t="n">
        <f aca="false">Fixed_Per_Order</f>
        <v>1.5844</v>
      </c>
      <c r="X24" s="56" t="n">
        <f aca="false">N(Countries!$G$13)</f>
        <v>0.03</v>
      </c>
      <c r="Y24" s="55" t="n">
        <f aca="false">X24*(L24-M24*P_Resell+(IF(Card_Ret_Label="Yes",Q24,0)+FF_Reverse)*FF_VAT_Mult)</f>
        <v>0.745255609756098</v>
      </c>
      <c r="Z24" s="55" t="n">
        <f aca="false">M24+Q24+R24+S24+T24+U24+V24+W24+Y24</f>
        <v>31.7619656097561</v>
      </c>
      <c r="AA24" s="53" t="str">
        <f aca="false">IF(E24=0,"",IF(NOT(ISNUMBER(Countries!$C$13)),"enter price",IF(O24=0,"pick courier",IF(P24=0,"too heavy","OK"))))</f>
        <v>OK</v>
      </c>
      <c r="AB24" s="55" t="n">
        <f aca="false">IF(AA24="OK",L24-Z24,"")</f>
        <v>-3.39611195121951</v>
      </c>
      <c r="AC24" s="56" t="n">
        <f aca="false">IF(ISNUMBER(AB24),IF(L24&gt;0,AB24/L24,0),"")</f>
        <v>-0.119725356835769</v>
      </c>
      <c r="AD24" s="55" t="n">
        <f aca="false">IF(ISNUMBER(AB24),AB24+V24,"")</f>
        <v>11.6038880487805</v>
      </c>
      <c r="AE24" s="58" t="n">
        <f aca="false">IF(ISNUMBER(AD24),IF(AD24&gt;0,I24/AD24,"never"),"")</f>
        <v>3.00675082811289</v>
      </c>
    </row>
    <row r="25" customFormat="false" ht="15" hidden="false" customHeight="false" outlineLevel="0" collapsed="false">
      <c r="A25" s="53" t="str">
        <f aca="false">Countries!$A$13</f>
        <v>Slovakia</v>
      </c>
      <c r="B25" s="54" t="n">
        <v>2</v>
      </c>
      <c r="C25" s="53" t="str">
        <f aca="false">'Product &amp; Offers'!$B$15</f>
        <v>Buy 2 Get 1 Free</v>
      </c>
      <c r="D25" s="53" t="str">
        <f aca="false">Countries!$B$13</f>
        <v>SPS</v>
      </c>
      <c r="E25" s="54" t="n">
        <f aca="false">'Product &amp; Offers'!$C$15+'Product &amp; Offers'!$D$15</f>
        <v>3</v>
      </c>
      <c r="F25" s="55" t="n">
        <f aca="false">N(Countries!$C$13)</f>
        <v>29.9</v>
      </c>
      <c r="G25" s="55" t="n">
        <f aca="false">'Product &amp; Offers'!$C$15*F25</f>
        <v>59.8</v>
      </c>
      <c r="H25" s="55" t="n">
        <f aca="false">IF(AND(ISNUMBER(Countries!$E$13),G25&gt;=Countries!$E$13),0,N(Countries!$D$13))</f>
        <v>0</v>
      </c>
      <c r="I25" s="55" t="n">
        <f aca="false">G25+H25</f>
        <v>59.8</v>
      </c>
      <c r="J25" s="56" t="n">
        <f aca="false">IF(VAT_On_Sales="Yes",IFERROR(INDEX(VAT_Rate,MATCH(A25,VAT_Country,0)),0),0)</f>
        <v>0.23</v>
      </c>
      <c r="K25" s="55" t="n">
        <f aca="false">I25-I25/(1+J25)</f>
        <v>11.1821138211382</v>
      </c>
      <c r="L25" s="55" t="n">
        <f aca="false">I25-K25</f>
        <v>48.6178861788618</v>
      </c>
      <c r="M25" s="55" t="n">
        <f aca="false">E25*P_Landed</f>
        <v>16.14</v>
      </c>
      <c r="N25" s="57" t="n">
        <f aca="false">E25*P_Weight+P_PackW</f>
        <v>0.8</v>
      </c>
      <c r="O25" s="54" t="n">
        <f aca="false">IFERROR(MATCH(1,INDEX((Dest_Country=A25)*(Dest_Courier=D25),0),0),0)</f>
        <v>16</v>
      </c>
      <c r="P25" s="55" t="n">
        <f aca="false">IF(O25=0,0,IFERROR(INDEX(Rate_Table,O25,COUNTIF(Rate_Weights,"&lt;"&amp;N25)+1),0))</f>
        <v>4.7875</v>
      </c>
      <c r="Q25" s="55" t="n">
        <f aca="false">IF(P25&gt;0,P25*(1+INDEX(Dest_Fuel,O25))+INDEX(Dest_SMS,O25),0)</f>
        <v>5.026875</v>
      </c>
      <c r="R25" s="55" t="n">
        <f aca="false">IF(E25&gt;0,FF_Base+FF_Extra_Item*MAX(0,E25-2)+FF_Extra_5kg*ROUNDUP(MAX(0,N25-5)/5,0),0)</f>
        <v>1</v>
      </c>
      <c r="S25" s="55" t="n">
        <f aca="false">'Product &amp; Offers'!$E$15</f>
        <v>0.13</v>
      </c>
      <c r="T25" s="55" t="n">
        <f aca="false">I25*Stripe_Pct+Stripe_Fixed</f>
        <v>3.4892</v>
      </c>
      <c r="U25" s="55" t="n">
        <f aca="false">(Q25+R25+S25)*(FF_VAT_Mult-1)</f>
        <v>1.231375</v>
      </c>
      <c r="V25" s="55" t="n">
        <f aca="false">N(Countries!$F$13)</f>
        <v>15</v>
      </c>
      <c r="W25" s="55" t="n">
        <f aca="false">Fixed_Per_Order</f>
        <v>1.5844</v>
      </c>
      <c r="X25" s="56" t="n">
        <f aca="false">N(Countries!$G$13)</f>
        <v>0.03</v>
      </c>
      <c r="Y25" s="55" t="n">
        <f aca="false">X25*(L25-M25*P_Resell+(IF(Card_Ret_Label="Yes",Q25,0)+FF_Reverse)*FF_VAT_Mult)</f>
        <v>1.09457658536585</v>
      </c>
      <c r="Z25" s="55" t="n">
        <f aca="false">M25+Q25+R25+S25+T25+U25+V25+W25+Y25</f>
        <v>44.6964265853659</v>
      </c>
      <c r="AA25" s="53" t="str">
        <f aca="false">IF(E25=0,"",IF(NOT(ISNUMBER(Countries!$C$13)),"enter price",IF(O25=0,"pick courier",IF(P25=0,"too heavy","OK"))))</f>
        <v>OK</v>
      </c>
      <c r="AB25" s="55" t="n">
        <f aca="false">IF(AA25="OK",L25-Z25,"")</f>
        <v>3.92145959349593</v>
      </c>
      <c r="AC25" s="56" t="n">
        <f aca="false">IF(ISNUMBER(AB25),IF(L25&gt;0,AB25/L25,0),"")</f>
        <v>0.0806587842809364</v>
      </c>
      <c r="AD25" s="55" t="n">
        <f aca="false">IF(ISNUMBER(AB25),AB25+V25,"")</f>
        <v>18.9214595934959</v>
      </c>
      <c r="AE25" s="58" t="n">
        <f aca="false">IF(ISNUMBER(AD25),IF(AD25&gt;0,I25/AD25,"never"),"")</f>
        <v>3.16043271950097</v>
      </c>
    </row>
    <row r="26" customFormat="false" ht="15" hidden="false" customHeight="false" outlineLevel="0" collapsed="false">
      <c r="A26" s="53" t="str">
        <f aca="false">Countries!$A$13</f>
        <v>Slovakia</v>
      </c>
      <c r="B26" s="54" t="n">
        <v>3</v>
      </c>
      <c r="C26" s="53" t="str">
        <f aca="false">'Product &amp; Offers'!$B$16</f>
        <v>Buy 1 Get 1 Free</v>
      </c>
      <c r="D26" s="53" t="str">
        <f aca="false">Countries!$B$13</f>
        <v>SPS</v>
      </c>
      <c r="E26" s="54" t="n">
        <f aca="false">'Product &amp; Offers'!$C$16+'Product &amp; Offers'!$D$16</f>
        <v>2</v>
      </c>
      <c r="F26" s="55" t="n">
        <f aca="false">N(Countries!$C$13)</f>
        <v>29.9</v>
      </c>
      <c r="G26" s="55" t="n">
        <f aca="false">'Product &amp; Offers'!$C$16*F26</f>
        <v>29.9</v>
      </c>
      <c r="H26" s="55" t="n">
        <f aca="false">IF(AND(ISNUMBER(Countries!$E$13),G26&gt;=Countries!$E$13),0,N(Countries!$D$13))</f>
        <v>4.99</v>
      </c>
      <c r="I26" s="55" t="n">
        <f aca="false">G26+H26</f>
        <v>34.89</v>
      </c>
      <c r="J26" s="56" t="n">
        <f aca="false">IF(VAT_On_Sales="Yes",IFERROR(INDEX(VAT_Rate,MATCH(A26,VAT_Country,0)),0),0)</f>
        <v>0.23</v>
      </c>
      <c r="K26" s="55" t="n">
        <f aca="false">I26-I26/(1+J26)</f>
        <v>6.52414634146341</v>
      </c>
      <c r="L26" s="55" t="n">
        <f aca="false">I26-K26</f>
        <v>28.3658536585366</v>
      </c>
      <c r="M26" s="55" t="n">
        <f aca="false">E26*P_Landed</f>
        <v>10.76</v>
      </c>
      <c r="N26" s="57" t="n">
        <f aca="false">E26*P_Weight+P_PackW</f>
        <v>0.55</v>
      </c>
      <c r="O26" s="54" t="n">
        <f aca="false">IFERROR(MATCH(1,INDEX((Dest_Country=A26)*(Dest_Courier=D26),0),0),0)</f>
        <v>16</v>
      </c>
      <c r="P26" s="55" t="n">
        <f aca="false">IF(O26=0,0,IFERROR(INDEX(Rate_Table,O26,COUNTIF(Rate_Weights,"&lt;"&amp;N26)+1),0))</f>
        <v>4.7875</v>
      </c>
      <c r="Q26" s="55" t="n">
        <f aca="false">IF(P26&gt;0,P26*(1+INDEX(Dest_Fuel,O26))+INDEX(Dest_SMS,O26),0)</f>
        <v>5.026875</v>
      </c>
      <c r="R26" s="55" t="n">
        <f aca="false">IF(E26&gt;0,FF_Base+FF_Extra_Item*MAX(0,E26-2)+FF_Extra_5kg*ROUNDUP(MAX(0,N26-5)/5,0),0)</f>
        <v>0.65</v>
      </c>
      <c r="S26" s="55" t="n">
        <f aca="false">'Product &amp; Offers'!$E$16</f>
        <v>0.08</v>
      </c>
      <c r="T26" s="55" t="n">
        <f aca="false">I26*Stripe_Pct+Stripe_Fixed</f>
        <v>2.14406</v>
      </c>
      <c r="U26" s="55" t="n">
        <f aca="false">(Q26+R26+S26)*(FF_VAT_Mult-1)</f>
        <v>1.151375</v>
      </c>
      <c r="V26" s="55" t="n">
        <f aca="false">N(Countries!$F$13)</f>
        <v>15</v>
      </c>
      <c r="W26" s="55" t="n">
        <f aca="false">Fixed_Per_Order</f>
        <v>1.5844</v>
      </c>
      <c r="X26" s="56" t="n">
        <f aca="false">N(Countries!$G$13)</f>
        <v>0.03</v>
      </c>
      <c r="Y26" s="55" t="n">
        <f aca="false">X26*(L26-M26*P_Resell+(IF(Card_Ret_Label="Yes",Q26,0)+FF_Reverse)*FF_VAT_Mult)</f>
        <v>0.616135609756098</v>
      </c>
      <c r="Z26" s="55" t="n">
        <f aca="false">M26+Q26+R26+S26+T26+U26+V26+W26+Y26</f>
        <v>37.0128456097561</v>
      </c>
      <c r="AA26" s="53" t="str">
        <f aca="false">IF(E26=0,"",IF(NOT(ISNUMBER(Countries!$C$13)),"enter price",IF(O26=0,"pick courier",IF(P26=0,"too heavy","OK"))))</f>
        <v>OK</v>
      </c>
      <c r="AB26" s="55" t="n">
        <f aca="false">IF(AA26="OK",L26-Z26,"")</f>
        <v>-8.64699195121951</v>
      </c>
      <c r="AC26" s="56" t="n">
        <f aca="false">IF(ISNUMBER(AB26),IF(L26&gt;0,AB26/L26,0),"")</f>
        <v>-0.304838065348237</v>
      </c>
      <c r="AD26" s="55" t="n">
        <f aca="false">IF(ISNUMBER(AB26),AB26+V26,"")</f>
        <v>6.35300804878049</v>
      </c>
      <c r="AE26" s="58" t="n">
        <f aca="false">IF(ISNUMBER(AD26),IF(AD26&gt;0,I26/AD26,"never"),"")</f>
        <v>5.49188663576421</v>
      </c>
    </row>
    <row r="27" customFormat="false" ht="15" hidden="false" customHeight="false" outlineLevel="0" collapsed="false">
      <c r="A27" s="53" t="str">
        <f aca="false">Countries!$A$14</f>
        <v>Croatia</v>
      </c>
      <c r="B27" s="54" t="n">
        <v>1</v>
      </c>
      <c r="C27" s="53" t="str">
        <f aca="false">'Product &amp; Offers'!$B$14</f>
        <v>Buy 1</v>
      </c>
      <c r="D27" s="53" t="str">
        <f aca="false">Countries!$B$14</f>
        <v>DPD HR</v>
      </c>
      <c r="E27" s="54" t="n">
        <f aca="false">'Product &amp; Offers'!$C$14+'Product &amp; Offers'!$D$14</f>
        <v>1</v>
      </c>
      <c r="F27" s="55" t="n">
        <f aca="false">N(Countries!$C$14)</f>
        <v>29.9</v>
      </c>
      <c r="G27" s="55" t="n">
        <f aca="false">'Product &amp; Offers'!$C$14*F27</f>
        <v>29.9</v>
      </c>
      <c r="H27" s="55" t="n">
        <f aca="false">IF(AND(ISNUMBER(Countries!$E$14),G27&gt;=Countries!$E$14),0,N(Countries!$D$14))</f>
        <v>4.99</v>
      </c>
      <c r="I27" s="55" t="n">
        <f aca="false">G27+H27</f>
        <v>34.89</v>
      </c>
      <c r="J27" s="56" t="n">
        <f aca="false">IF(VAT_On_Sales="Yes",IFERROR(INDEX(VAT_Rate,MATCH(A27,VAT_Country,0)),0),0)</f>
        <v>0.25</v>
      </c>
      <c r="K27" s="55" t="n">
        <f aca="false">I27-I27/(1+J27)</f>
        <v>6.978</v>
      </c>
      <c r="L27" s="55" t="n">
        <f aca="false">I27-K27</f>
        <v>27.912</v>
      </c>
      <c r="M27" s="55" t="n">
        <f aca="false">E27*P_Landed</f>
        <v>5.38</v>
      </c>
      <c r="N27" s="57" t="n">
        <f aca="false">E27*P_Weight+P_PackW</f>
        <v>0.3</v>
      </c>
      <c r="O27" s="54" t="n">
        <f aca="false">IFERROR(MATCH(1,INDEX((Dest_Country=A27)*(Dest_Courier=D27),0),0),0)</f>
        <v>19</v>
      </c>
      <c r="P27" s="55" t="n">
        <f aca="false">IF(O27=0,0,IFERROR(INDEX(Rate_Table,O27,COUNTIF(Rate_Weights,"&lt;"&amp;N27)+1),0))</f>
        <v>4.8</v>
      </c>
      <c r="Q27" s="55" t="n">
        <f aca="false">IF(P27&gt;0,P27*(1+INDEX(Dest_Fuel,O27))+INDEX(Dest_SMS,O27),0)</f>
        <v>4.85</v>
      </c>
      <c r="R27" s="55" t="n">
        <f aca="false">IF(E27&gt;0,FF_Base+FF_Extra_Item*MAX(0,E27-2)+FF_Extra_5kg*ROUNDUP(MAX(0,N27-5)/5,0),0)</f>
        <v>0.65</v>
      </c>
      <c r="S27" s="55" t="n">
        <f aca="false">'Product &amp; Offers'!$E$14</f>
        <v>0.08</v>
      </c>
      <c r="T27" s="55" t="n">
        <f aca="false">I27*Stripe_Pct+Stripe_Fixed</f>
        <v>2.14406</v>
      </c>
      <c r="U27" s="55" t="n">
        <f aca="false">(Q27+R27+S27)*(FF_VAT_Mult-1)</f>
        <v>1.116</v>
      </c>
      <c r="V27" s="55" t="n">
        <f aca="false">N(Countries!$F$14)</f>
        <v>15</v>
      </c>
      <c r="W27" s="55" t="n">
        <f aca="false">Fixed_Per_Order</f>
        <v>1.5844</v>
      </c>
      <c r="X27" s="56" t="n">
        <f aca="false">N(Countries!$G$14)</f>
        <v>0.03</v>
      </c>
      <c r="Y27" s="55" t="n">
        <f aca="false">X27*(L27-M27*P_Resell+(IF(Card_Ret_Label="Yes",Q27,0)+FF_Reverse)*FF_VAT_Mult)</f>
        <v>0.73164</v>
      </c>
      <c r="Z27" s="55" t="n">
        <f aca="false">M27+Q27+R27+S27+T27+U27+V27+W27+Y27</f>
        <v>31.5361</v>
      </c>
      <c r="AA27" s="53" t="str">
        <f aca="false">IF(E27=0,"",IF(NOT(ISNUMBER(Countries!$C$14)),"enter price",IF(O27=0,"pick courier",IF(P27=0,"too heavy","OK"))))</f>
        <v>OK</v>
      </c>
      <c r="AB27" s="55" t="n">
        <f aca="false">IF(AA27="OK",L27-Z27,"")</f>
        <v>-3.6241</v>
      </c>
      <c r="AC27" s="56" t="n">
        <f aca="false">IF(ISNUMBER(AB27),IF(L27&gt;0,AB27/L27,0),"")</f>
        <v>-0.129840212095156</v>
      </c>
      <c r="AD27" s="55" t="n">
        <f aca="false">IF(ISNUMBER(AB27),AB27+V27,"")</f>
        <v>11.3759</v>
      </c>
      <c r="AE27" s="58" t="n">
        <f aca="false">IF(ISNUMBER(AD27),IF(AD27&gt;0,I27/AD27,"never"),"")</f>
        <v>3.06701008271873</v>
      </c>
    </row>
    <row r="28" customFormat="false" ht="15" hidden="false" customHeight="false" outlineLevel="0" collapsed="false">
      <c r="A28" s="53" t="str">
        <f aca="false">Countries!$A$14</f>
        <v>Croatia</v>
      </c>
      <c r="B28" s="54" t="n">
        <v>2</v>
      </c>
      <c r="C28" s="53" t="str">
        <f aca="false">'Product &amp; Offers'!$B$15</f>
        <v>Buy 2 Get 1 Free</v>
      </c>
      <c r="D28" s="53" t="str">
        <f aca="false">Countries!$B$14</f>
        <v>DPD HR</v>
      </c>
      <c r="E28" s="54" t="n">
        <f aca="false">'Product &amp; Offers'!$C$15+'Product &amp; Offers'!$D$15</f>
        <v>3</v>
      </c>
      <c r="F28" s="55" t="n">
        <f aca="false">N(Countries!$C$14)</f>
        <v>29.9</v>
      </c>
      <c r="G28" s="55" t="n">
        <f aca="false">'Product &amp; Offers'!$C$15*F28</f>
        <v>59.8</v>
      </c>
      <c r="H28" s="55" t="n">
        <f aca="false">IF(AND(ISNUMBER(Countries!$E$14),G28&gt;=Countries!$E$14),0,N(Countries!$D$14))</f>
        <v>0</v>
      </c>
      <c r="I28" s="55" t="n">
        <f aca="false">G28+H28</f>
        <v>59.8</v>
      </c>
      <c r="J28" s="56" t="n">
        <f aca="false">IF(VAT_On_Sales="Yes",IFERROR(INDEX(VAT_Rate,MATCH(A28,VAT_Country,0)),0),0)</f>
        <v>0.25</v>
      </c>
      <c r="K28" s="55" t="n">
        <f aca="false">I28-I28/(1+J28)</f>
        <v>11.96</v>
      </c>
      <c r="L28" s="55" t="n">
        <f aca="false">I28-K28</f>
        <v>47.84</v>
      </c>
      <c r="M28" s="55" t="n">
        <f aca="false">E28*P_Landed</f>
        <v>16.14</v>
      </c>
      <c r="N28" s="57" t="n">
        <f aca="false">E28*P_Weight+P_PackW</f>
        <v>0.8</v>
      </c>
      <c r="O28" s="54" t="n">
        <f aca="false">IFERROR(MATCH(1,INDEX((Dest_Country=A28)*(Dest_Courier=D28),0),0),0)</f>
        <v>19</v>
      </c>
      <c r="P28" s="55" t="n">
        <f aca="false">IF(O28=0,0,IFERROR(INDEX(Rate_Table,O28,COUNTIF(Rate_Weights,"&lt;"&amp;N28)+1),0))</f>
        <v>4.8</v>
      </c>
      <c r="Q28" s="55" t="n">
        <f aca="false">IF(P28&gt;0,P28*(1+INDEX(Dest_Fuel,O28))+INDEX(Dest_SMS,O28),0)</f>
        <v>4.85</v>
      </c>
      <c r="R28" s="55" t="n">
        <f aca="false">IF(E28&gt;0,FF_Base+FF_Extra_Item*MAX(0,E28-2)+FF_Extra_5kg*ROUNDUP(MAX(0,N28-5)/5,0),0)</f>
        <v>1</v>
      </c>
      <c r="S28" s="55" t="n">
        <f aca="false">'Product &amp; Offers'!$E$15</f>
        <v>0.13</v>
      </c>
      <c r="T28" s="55" t="n">
        <f aca="false">I28*Stripe_Pct+Stripe_Fixed</f>
        <v>3.4892</v>
      </c>
      <c r="U28" s="55" t="n">
        <f aca="false">(Q28+R28+S28)*(FF_VAT_Mult-1)</f>
        <v>1.196</v>
      </c>
      <c r="V28" s="55" t="n">
        <f aca="false">N(Countries!$F$14)</f>
        <v>15</v>
      </c>
      <c r="W28" s="55" t="n">
        <f aca="false">Fixed_Per_Order</f>
        <v>1.5844</v>
      </c>
      <c r="X28" s="56" t="n">
        <f aca="false">N(Countries!$G$14)</f>
        <v>0.03</v>
      </c>
      <c r="Y28" s="55" t="n">
        <f aca="false">X28*(L28-M28*P_Resell+(IF(Card_Ret_Label="Yes",Q28,0)+FF_Reverse)*FF_VAT_Mult)</f>
        <v>1.07124</v>
      </c>
      <c r="Z28" s="55" t="n">
        <f aca="false">M28+Q28+R28+S28+T28+U28+V28+W28+Y28</f>
        <v>44.46084</v>
      </c>
      <c r="AA28" s="53" t="str">
        <f aca="false">IF(E28=0,"",IF(NOT(ISNUMBER(Countries!$C$14)),"enter price",IF(O28=0,"pick courier",IF(P28=0,"too heavy","OK"))))</f>
        <v>OK</v>
      </c>
      <c r="AB28" s="55" t="n">
        <f aca="false">IF(AA28="OK",L28-Z28,"")</f>
        <v>3.37915999999999</v>
      </c>
      <c r="AC28" s="56" t="n">
        <f aca="false">IF(ISNUMBER(AB28),IF(L28&gt;0,AB28/L28,0),"")</f>
        <v>0.0706346153846152</v>
      </c>
      <c r="AD28" s="55" t="n">
        <f aca="false">IF(ISNUMBER(AB28),AB28+V28,"")</f>
        <v>18.37916</v>
      </c>
      <c r="AE28" s="58" t="n">
        <f aca="false">IF(ISNUMBER(AD28),IF(AD28&gt;0,I28/AD28,"never"),"")</f>
        <v>3.25368515209618</v>
      </c>
    </row>
    <row r="29" customFormat="false" ht="15" hidden="false" customHeight="false" outlineLevel="0" collapsed="false">
      <c r="A29" s="53" t="str">
        <f aca="false">Countries!$A$14</f>
        <v>Croatia</v>
      </c>
      <c r="B29" s="54" t="n">
        <v>3</v>
      </c>
      <c r="C29" s="53" t="str">
        <f aca="false">'Product &amp; Offers'!$B$16</f>
        <v>Buy 1 Get 1 Free</v>
      </c>
      <c r="D29" s="53" t="str">
        <f aca="false">Countries!$B$14</f>
        <v>DPD HR</v>
      </c>
      <c r="E29" s="54" t="n">
        <f aca="false">'Product &amp; Offers'!$C$16+'Product &amp; Offers'!$D$16</f>
        <v>2</v>
      </c>
      <c r="F29" s="55" t="n">
        <f aca="false">N(Countries!$C$14)</f>
        <v>29.9</v>
      </c>
      <c r="G29" s="55" t="n">
        <f aca="false">'Product &amp; Offers'!$C$16*F29</f>
        <v>29.9</v>
      </c>
      <c r="H29" s="55" t="n">
        <f aca="false">IF(AND(ISNUMBER(Countries!$E$14),G29&gt;=Countries!$E$14),0,N(Countries!$D$14))</f>
        <v>4.99</v>
      </c>
      <c r="I29" s="55" t="n">
        <f aca="false">G29+H29</f>
        <v>34.89</v>
      </c>
      <c r="J29" s="56" t="n">
        <f aca="false">IF(VAT_On_Sales="Yes",IFERROR(INDEX(VAT_Rate,MATCH(A29,VAT_Country,0)),0),0)</f>
        <v>0.25</v>
      </c>
      <c r="K29" s="55" t="n">
        <f aca="false">I29-I29/(1+J29)</f>
        <v>6.978</v>
      </c>
      <c r="L29" s="55" t="n">
        <f aca="false">I29-K29</f>
        <v>27.912</v>
      </c>
      <c r="M29" s="55" t="n">
        <f aca="false">E29*P_Landed</f>
        <v>10.76</v>
      </c>
      <c r="N29" s="57" t="n">
        <f aca="false">E29*P_Weight+P_PackW</f>
        <v>0.55</v>
      </c>
      <c r="O29" s="54" t="n">
        <f aca="false">IFERROR(MATCH(1,INDEX((Dest_Country=A29)*(Dest_Courier=D29),0),0),0)</f>
        <v>19</v>
      </c>
      <c r="P29" s="55" t="n">
        <f aca="false">IF(O29=0,0,IFERROR(INDEX(Rate_Table,O29,COUNTIF(Rate_Weights,"&lt;"&amp;N29)+1),0))</f>
        <v>4.8</v>
      </c>
      <c r="Q29" s="55" t="n">
        <f aca="false">IF(P29&gt;0,P29*(1+INDEX(Dest_Fuel,O29))+INDEX(Dest_SMS,O29),0)</f>
        <v>4.85</v>
      </c>
      <c r="R29" s="55" t="n">
        <f aca="false">IF(E29&gt;0,FF_Base+FF_Extra_Item*MAX(0,E29-2)+FF_Extra_5kg*ROUNDUP(MAX(0,N29-5)/5,0),0)</f>
        <v>0.65</v>
      </c>
      <c r="S29" s="55" t="n">
        <f aca="false">'Product &amp; Offers'!$E$16</f>
        <v>0.08</v>
      </c>
      <c r="T29" s="55" t="n">
        <f aca="false">I29*Stripe_Pct+Stripe_Fixed</f>
        <v>2.14406</v>
      </c>
      <c r="U29" s="55" t="n">
        <f aca="false">(Q29+R29+S29)*(FF_VAT_Mult-1)</f>
        <v>1.116</v>
      </c>
      <c r="V29" s="55" t="n">
        <f aca="false">N(Countries!$F$14)</f>
        <v>15</v>
      </c>
      <c r="W29" s="55" t="n">
        <f aca="false">Fixed_Per_Order</f>
        <v>1.5844</v>
      </c>
      <c r="X29" s="56" t="n">
        <f aca="false">N(Countries!$G$14)</f>
        <v>0.03</v>
      </c>
      <c r="Y29" s="55" t="n">
        <f aca="false">X29*(L29-M29*P_Resell+(IF(Card_Ret_Label="Yes",Q29,0)+FF_Reverse)*FF_VAT_Mult)</f>
        <v>0.60252</v>
      </c>
      <c r="Z29" s="55" t="n">
        <f aca="false">M29+Q29+R29+S29+T29+U29+V29+W29+Y29</f>
        <v>36.78698</v>
      </c>
      <c r="AA29" s="53" t="str">
        <f aca="false">IF(E29=0,"",IF(NOT(ISNUMBER(Countries!$C$14)),"enter price",IF(O29=0,"pick courier",IF(P29=0,"too heavy","OK"))))</f>
        <v>OK</v>
      </c>
      <c r="AB29" s="55" t="n">
        <f aca="false">IF(AA29="OK",L29-Z29,"")</f>
        <v>-8.87498</v>
      </c>
      <c r="AC29" s="56" t="n">
        <f aca="false">IF(ISNUMBER(AB29),IF(L29&gt;0,AB29/L29,0),"")</f>
        <v>-0.317962883347664</v>
      </c>
      <c r="AD29" s="55" t="n">
        <f aca="false">IF(ISNUMBER(AB29),AB29+V29,"")</f>
        <v>6.12502</v>
      </c>
      <c r="AE29" s="58" t="n">
        <f aca="false">IF(ISNUMBER(AD29),IF(AD29&gt;0,I29/AD29,"never"),"")</f>
        <v>5.69630793042309</v>
      </c>
    </row>
    <row r="30" customFormat="false" ht="15" hidden="false" customHeight="false" outlineLevel="0" collapsed="false">
      <c r="A30" s="53" t="str">
        <f aca="false">Countries!$A$15</f>
        <v>Slovenia</v>
      </c>
      <c r="B30" s="54" t="n">
        <v>1</v>
      </c>
      <c r="C30" s="53" t="str">
        <f aca="false">'Product &amp; Offers'!$B$14</f>
        <v>Buy 1</v>
      </c>
      <c r="D30" s="53" t="str">
        <f aca="false">Countries!$B$15</f>
        <v>DPD SI</v>
      </c>
      <c r="E30" s="54" t="n">
        <f aca="false">'Product &amp; Offers'!$C$14+'Product &amp; Offers'!$D$14</f>
        <v>1</v>
      </c>
      <c r="F30" s="55" t="n">
        <f aca="false">N(Countries!$C$15)</f>
        <v>29.9</v>
      </c>
      <c r="G30" s="55" t="n">
        <f aca="false">'Product &amp; Offers'!$C$14*F30</f>
        <v>29.9</v>
      </c>
      <c r="H30" s="55" t="n">
        <f aca="false">IF(AND(ISNUMBER(Countries!$E$15),G30&gt;=Countries!$E$15),0,N(Countries!$D$15))</f>
        <v>4.99</v>
      </c>
      <c r="I30" s="55" t="n">
        <f aca="false">G30+H30</f>
        <v>34.89</v>
      </c>
      <c r="J30" s="56" t="n">
        <f aca="false">IF(VAT_On_Sales="Yes",IFERROR(INDEX(VAT_Rate,MATCH(A30,VAT_Country,0)),0),0)</f>
        <v>0.22</v>
      </c>
      <c r="K30" s="55" t="n">
        <f aca="false">I30-I30/(1+J30)</f>
        <v>6.29163934426229</v>
      </c>
      <c r="L30" s="55" t="n">
        <f aca="false">I30-K30</f>
        <v>28.5983606557377</v>
      </c>
      <c r="M30" s="55" t="n">
        <f aca="false">E30*P_Landed</f>
        <v>5.38</v>
      </c>
      <c r="N30" s="57" t="n">
        <f aca="false">E30*P_Weight+P_PackW</f>
        <v>0.3</v>
      </c>
      <c r="O30" s="54" t="n">
        <f aca="false">IFERROR(MATCH(1,INDEX((Dest_Country=A30)*(Dest_Courier=D30),0),0),0)</f>
        <v>21</v>
      </c>
      <c r="P30" s="55" t="n">
        <f aca="false">IF(O30=0,0,IFERROR(INDEX(Rate_Table,O30,COUNTIF(Rate_Weights,"&lt;"&amp;N30)+1),0))</f>
        <v>4.7</v>
      </c>
      <c r="Q30" s="55" t="n">
        <f aca="false">IF(P30&gt;0,P30*(1+INDEX(Dest_Fuel,O30))+INDEX(Dest_SMS,O30),0)</f>
        <v>4.7</v>
      </c>
      <c r="R30" s="55" t="n">
        <f aca="false">IF(E30&gt;0,FF_Base+FF_Extra_Item*MAX(0,E30-2)+FF_Extra_5kg*ROUNDUP(MAX(0,N30-5)/5,0),0)</f>
        <v>0.65</v>
      </c>
      <c r="S30" s="55" t="n">
        <f aca="false">'Product &amp; Offers'!$E$14</f>
        <v>0.08</v>
      </c>
      <c r="T30" s="55" t="n">
        <f aca="false">I30*Stripe_Pct+Stripe_Fixed</f>
        <v>2.14406</v>
      </c>
      <c r="U30" s="55" t="n">
        <f aca="false">(Q30+R30+S30)*(FF_VAT_Mult-1)</f>
        <v>1.086</v>
      </c>
      <c r="V30" s="55" t="n">
        <f aca="false">N(Countries!$F$15)</f>
        <v>15</v>
      </c>
      <c r="W30" s="55" t="n">
        <f aca="false">Fixed_Per_Order</f>
        <v>1.5844</v>
      </c>
      <c r="X30" s="56" t="n">
        <f aca="false">N(Countries!$G$15)</f>
        <v>0.03</v>
      </c>
      <c r="Y30" s="55" t="n">
        <f aca="false">X30*(L30-M30*P_Resell+(IF(Card_Ret_Label="Yes",Q30,0)+FF_Reverse)*FF_VAT_Mult)</f>
        <v>0.752230819672131</v>
      </c>
      <c r="Z30" s="55" t="n">
        <f aca="false">M30+Q30+R30+S30+T30+U30+V30+W30+Y30</f>
        <v>31.3766908196721</v>
      </c>
      <c r="AA30" s="53" t="str">
        <f aca="false">IF(E30=0,"",IF(NOT(ISNUMBER(Countries!$C$15)),"enter price",IF(O30=0,"pick courier",IF(P30=0,"too heavy","OK"))))</f>
        <v>OK</v>
      </c>
      <c r="AB30" s="55" t="n">
        <f aca="false">IF(AA30="OK",L30-Z30,"")</f>
        <v>-2.77833016393442</v>
      </c>
      <c r="AC30" s="56" t="n">
        <f aca="false">IF(ISNUMBER(AB30),IF(L30&gt;0,AB30/L30,0),"")</f>
        <v>-0.0971499799369445</v>
      </c>
      <c r="AD30" s="55" t="n">
        <f aca="false">IF(ISNUMBER(AB30),AB30+V30,"")</f>
        <v>12.2216698360656</v>
      </c>
      <c r="AE30" s="58" t="n">
        <f aca="false">IF(ISNUMBER(AD30),IF(AD30&gt;0,I30/AD30,"never"),"")</f>
        <v>2.8547653854174</v>
      </c>
    </row>
    <row r="31" customFormat="false" ht="15" hidden="false" customHeight="false" outlineLevel="0" collapsed="false">
      <c r="A31" s="53" t="str">
        <f aca="false">Countries!$A$15</f>
        <v>Slovenia</v>
      </c>
      <c r="B31" s="54" t="n">
        <v>2</v>
      </c>
      <c r="C31" s="53" t="str">
        <f aca="false">'Product &amp; Offers'!$B$15</f>
        <v>Buy 2 Get 1 Free</v>
      </c>
      <c r="D31" s="53" t="str">
        <f aca="false">Countries!$B$15</f>
        <v>DPD SI</v>
      </c>
      <c r="E31" s="54" t="n">
        <f aca="false">'Product &amp; Offers'!$C$15+'Product &amp; Offers'!$D$15</f>
        <v>3</v>
      </c>
      <c r="F31" s="55" t="n">
        <f aca="false">N(Countries!$C$15)</f>
        <v>29.9</v>
      </c>
      <c r="G31" s="55" t="n">
        <f aca="false">'Product &amp; Offers'!$C$15*F31</f>
        <v>59.8</v>
      </c>
      <c r="H31" s="55" t="n">
        <f aca="false">IF(AND(ISNUMBER(Countries!$E$15),G31&gt;=Countries!$E$15),0,N(Countries!$D$15))</f>
        <v>0</v>
      </c>
      <c r="I31" s="55" t="n">
        <f aca="false">G31+H31</f>
        <v>59.8</v>
      </c>
      <c r="J31" s="56" t="n">
        <f aca="false">IF(VAT_On_Sales="Yes",IFERROR(INDEX(VAT_Rate,MATCH(A31,VAT_Country,0)),0),0)</f>
        <v>0.22</v>
      </c>
      <c r="K31" s="55" t="n">
        <f aca="false">I31-I31/(1+J31)</f>
        <v>10.783606557377</v>
      </c>
      <c r="L31" s="55" t="n">
        <f aca="false">I31-K31</f>
        <v>49.016393442623</v>
      </c>
      <c r="M31" s="55" t="n">
        <f aca="false">E31*P_Landed</f>
        <v>16.14</v>
      </c>
      <c r="N31" s="57" t="n">
        <f aca="false">E31*P_Weight+P_PackW</f>
        <v>0.8</v>
      </c>
      <c r="O31" s="54" t="n">
        <f aca="false">IFERROR(MATCH(1,INDEX((Dest_Country=A31)*(Dest_Courier=D31),0),0),0)</f>
        <v>21</v>
      </c>
      <c r="P31" s="55" t="n">
        <f aca="false">IF(O31=0,0,IFERROR(INDEX(Rate_Table,O31,COUNTIF(Rate_Weights,"&lt;"&amp;N31)+1),0))</f>
        <v>4.7</v>
      </c>
      <c r="Q31" s="55" t="n">
        <f aca="false">IF(P31&gt;0,P31*(1+INDEX(Dest_Fuel,O31))+INDEX(Dest_SMS,O31),0)</f>
        <v>4.7</v>
      </c>
      <c r="R31" s="55" t="n">
        <f aca="false">IF(E31&gt;0,FF_Base+FF_Extra_Item*MAX(0,E31-2)+FF_Extra_5kg*ROUNDUP(MAX(0,N31-5)/5,0),0)</f>
        <v>1</v>
      </c>
      <c r="S31" s="55" t="n">
        <f aca="false">'Product &amp; Offers'!$E$15</f>
        <v>0.13</v>
      </c>
      <c r="T31" s="55" t="n">
        <f aca="false">I31*Stripe_Pct+Stripe_Fixed</f>
        <v>3.4892</v>
      </c>
      <c r="U31" s="55" t="n">
        <f aca="false">(Q31+R31+S31)*(FF_VAT_Mult-1)</f>
        <v>1.166</v>
      </c>
      <c r="V31" s="55" t="n">
        <f aca="false">N(Countries!$F$15)</f>
        <v>15</v>
      </c>
      <c r="W31" s="55" t="n">
        <f aca="false">Fixed_Per_Order</f>
        <v>1.5844</v>
      </c>
      <c r="X31" s="56" t="n">
        <f aca="false">N(Countries!$G$15)</f>
        <v>0.03</v>
      </c>
      <c r="Y31" s="55" t="n">
        <f aca="false">X31*(L31-M31*P_Resell+(IF(Card_Ret_Label="Yes",Q31,0)+FF_Reverse)*FF_VAT_Mult)</f>
        <v>1.10653180327869</v>
      </c>
      <c r="Z31" s="55" t="n">
        <f aca="false">M31+Q31+R31+S31+T31+U31+V31+W31+Y31</f>
        <v>44.3161318032787</v>
      </c>
      <c r="AA31" s="53" t="str">
        <f aca="false">IF(E31=0,"",IF(NOT(ISNUMBER(Countries!$C$15)),"enter price",IF(O31=0,"pick courier",IF(P31=0,"too heavy","OK"))))</f>
        <v>OK</v>
      </c>
      <c r="AB31" s="55" t="n">
        <f aca="false">IF(AA31="OK",L31-Z31,"")</f>
        <v>4.70026163934426</v>
      </c>
      <c r="AC31" s="56" t="n">
        <f aca="false">IF(ISNUMBER(AB31),IF(L31&gt;0,AB31/L31,0),"")</f>
        <v>0.0958916254180601</v>
      </c>
      <c r="AD31" s="55" t="n">
        <f aca="false">IF(ISNUMBER(AB31),AB31+V31,"")</f>
        <v>19.7002616393443</v>
      </c>
      <c r="AE31" s="58" t="n">
        <f aca="false">IF(ISNUMBER(AD31),IF(AD31&gt;0,I31/AD31,"never"),"")</f>
        <v>3.03549267998405</v>
      </c>
    </row>
    <row r="32" customFormat="false" ht="15" hidden="false" customHeight="false" outlineLevel="0" collapsed="false">
      <c r="A32" s="53" t="str">
        <f aca="false">Countries!$A$15</f>
        <v>Slovenia</v>
      </c>
      <c r="B32" s="54" t="n">
        <v>3</v>
      </c>
      <c r="C32" s="53" t="str">
        <f aca="false">'Product &amp; Offers'!$B$16</f>
        <v>Buy 1 Get 1 Free</v>
      </c>
      <c r="D32" s="53" t="str">
        <f aca="false">Countries!$B$15</f>
        <v>DPD SI</v>
      </c>
      <c r="E32" s="54" t="n">
        <f aca="false">'Product &amp; Offers'!$C$16+'Product &amp; Offers'!$D$16</f>
        <v>2</v>
      </c>
      <c r="F32" s="55" t="n">
        <f aca="false">N(Countries!$C$15)</f>
        <v>29.9</v>
      </c>
      <c r="G32" s="55" t="n">
        <f aca="false">'Product &amp; Offers'!$C$16*F32</f>
        <v>29.9</v>
      </c>
      <c r="H32" s="55" t="n">
        <f aca="false">IF(AND(ISNUMBER(Countries!$E$15),G32&gt;=Countries!$E$15),0,N(Countries!$D$15))</f>
        <v>4.99</v>
      </c>
      <c r="I32" s="55" t="n">
        <f aca="false">G32+H32</f>
        <v>34.89</v>
      </c>
      <c r="J32" s="56" t="n">
        <f aca="false">IF(VAT_On_Sales="Yes",IFERROR(INDEX(VAT_Rate,MATCH(A32,VAT_Country,0)),0),0)</f>
        <v>0.22</v>
      </c>
      <c r="K32" s="55" t="n">
        <f aca="false">I32-I32/(1+J32)</f>
        <v>6.29163934426229</v>
      </c>
      <c r="L32" s="55" t="n">
        <f aca="false">I32-K32</f>
        <v>28.5983606557377</v>
      </c>
      <c r="M32" s="55" t="n">
        <f aca="false">E32*P_Landed</f>
        <v>10.76</v>
      </c>
      <c r="N32" s="57" t="n">
        <f aca="false">E32*P_Weight+P_PackW</f>
        <v>0.55</v>
      </c>
      <c r="O32" s="54" t="n">
        <f aca="false">IFERROR(MATCH(1,INDEX((Dest_Country=A32)*(Dest_Courier=D32),0),0),0)</f>
        <v>21</v>
      </c>
      <c r="P32" s="55" t="n">
        <f aca="false">IF(O32=0,0,IFERROR(INDEX(Rate_Table,O32,COUNTIF(Rate_Weights,"&lt;"&amp;N32)+1),0))</f>
        <v>4.7</v>
      </c>
      <c r="Q32" s="55" t="n">
        <f aca="false">IF(P32&gt;0,P32*(1+INDEX(Dest_Fuel,O32))+INDEX(Dest_SMS,O32),0)</f>
        <v>4.7</v>
      </c>
      <c r="R32" s="55" t="n">
        <f aca="false">IF(E32&gt;0,FF_Base+FF_Extra_Item*MAX(0,E32-2)+FF_Extra_5kg*ROUNDUP(MAX(0,N32-5)/5,0),0)</f>
        <v>0.65</v>
      </c>
      <c r="S32" s="55" t="n">
        <f aca="false">'Product &amp; Offers'!$E$16</f>
        <v>0.08</v>
      </c>
      <c r="T32" s="55" t="n">
        <f aca="false">I32*Stripe_Pct+Stripe_Fixed</f>
        <v>2.14406</v>
      </c>
      <c r="U32" s="55" t="n">
        <f aca="false">(Q32+R32+S32)*(FF_VAT_Mult-1)</f>
        <v>1.086</v>
      </c>
      <c r="V32" s="55" t="n">
        <f aca="false">N(Countries!$F$15)</f>
        <v>15</v>
      </c>
      <c r="W32" s="55" t="n">
        <f aca="false">Fixed_Per_Order</f>
        <v>1.5844</v>
      </c>
      <c r="X32" s="56" t="n">
        <f aca="false">N(Countries!$G$15)</f>
        <v>0.03</v>
      </c>
      <c r="Y32" s="55" t="n">
        <f aca="false">X32*(L32-M32*P_Resell+(IF(Card_Ret_Label="Yes",Q32,0)+FF_Reverse)*FF_VAT_Mult)</f>
        <v>0.623110819672131</v>
      </c>
      <c r="Z32" s="55" t="n">
        <f aca="false">M32+Q32+R32+S32+T32+U32+V32+W32+Y32</f>
        <v>36.6275708196721</v>
      </c>
      <c r="AA32" s="53" t="str">
        <f aca="false">IF(E32=0,"",IF(NOT(ISNUMBER(Countries!$C$15)),"enter price",IF(O32=0,"pick courier",IF(P32=0,"too heavy","OK"))))</f>
        <v>OK</v>
      </c>
      <c r="AB32" s="55" t="n">
        <f aca="false">IF(AA32="OK",L32-Z32,"")</f>
        <v>-8.02921016393442</v>
      </c>
      <c r="AC32" s="56" t="n">
        <f aca="false">IF(ISNUMBER(AB32),IF(L32&gt;0,AB32/L32,0),"")</f>
        <v>-0.280757707079392</v>
      </c>
      <c r="AD32" s="55" t="n">
        <f aca="false">IF(ISNUMBER(AB32),AB32+V32,"")</f>
        <v>6.97078983606559</v>
      </c>
      <c r="AE32" s="58" t="n">
        <f aca="false">IF(ISNUMBER(AD32),IF(AD32&gt;0,I32/AD32,"never"),"")</f>
        <v>5.00517169797396</v>
      </c>
    </row>
    <row r="33" customFormat="false" ht="15" hidden="false" customHeight="false" outlineLevel="0" collapsed="false">
      <c r="A33" s="53" t="str">
        <f aca="false">Countries!$A$16</f>
        <v>Italy</v>
      </c>
      <c r="B33" s="54" t="n">
        <v>1</v>
      </c>
      <c r="C33" s="53" t="str">
        <f aca="false">'Product &amp; Offers'!$B$14</f>
        <v>Buy 1</v>
      </c>
      <c r="D33" s="53" t="str">
        <f aca="false">Countries!$B$16</f>
        <v>Poste Italiane</v>
      </c>
      <c r="E33" s="54" t="n">
        <f aca="false">'Product &amp; Offers'!$C$14+'Product &amp; Offers'!$D$14</f>
        <v>1</v>
      </c>
      <c r="F33" s="55" t="n">
        <f aca="false">N(Countries!$C$16)</f>
        <v>29.9</v>
      </c>
      <c r="G33" s="55" t="n">
        <f aca="false">'Product &amp; Offers'!$C$14*F33</f>
        <v>29.9</v>
      </c>
      <c r="H33" s="55" t="n">
        <f aca="false">IF(AND(ISNUMBER(Countries!$E$16),G33&gt;=Countries!$E$16),0,N(Countries!$D$16))</f>
        <v>4.99</v>
      </c>
      <c r="I33" s="55" t="n">
        <f aca="false">G33+H33</f>
        <v>34.89</v>
      </c>
      <c r="J33" s="56" t="n">
        <f aca="false">IF(VAT_On_Sales="Yes",IFERROR(INDEX(VAT_Rate,MATCH(A33,VAT_Country,0)),0),0)</f>
        <v>0.22</v>
      </c>
      <c r="K33" s="55" t="n">
        <f aca="false">I33-I33/(1+J33)</f>
        <v>6.29163934426229</v>
      </c>
      <c r="L33" s="55" t="n">
        <f aca="false">I33-K33</f>
        <v>28.5983606557377</v>
      </c>
      <c r="M33" s="55" t="n">
        <f aca="false">E33*P_Landed</f>
        <v>5.38</v>
      </c>
      <c r="N33" s="57" t="n">
        <f aca="false">E33*P_Weight+P_PackW</f>
        <v>0.3</v>
      </c>
      <c r="O33" s="54" t="n">
        <f aca="false">IFERROR(MATCH(1,INDEX((Dest_Country=A33)*(Dest_Courier=D33),0),0),0)</f>
        <v>23</v>
      </c>
      <c r="P33" s="55" t="n">
        <f aca="false">IF(O33=0,0,IFERROR(INDEX(Rate_Table,O33,COUNTIF(Rate_Weights,"&lt;"&amp;N33)+1),0))</f>
        <v>6.625</v>
      </c>
      <c r="Q33" s="55" t="n">
        <f aca="false">IF(P33&gt;0,P33*(1+INDEX(Dest_Fuel,O33))+INDEX(Dest_SMS,O33),0)</f>
        <v>7.18875</v>
      </c>
      <c r="R33" s="55" t="n">
        <f aca="false">IF(E33&gt;0,FF_Base+FF_Extra_Item*MAX(0,E33-2)+FF_Extra_5kg*ROUNDUP(MAX(0,N33-5)/5,0),0)</f>
        <v>0.65</v>
      </c>
      <c r="S33" s="55" t="n">
        <f aca="false">'Product &amp; Offers'!$E$14</f>
        <v>0.08</v>
      </c>
      <c r="T33" s="55" t="n">
        <f aca="false">I33*Stripe_Pct+Stripe_Fixed</f>
        <v>2.14406</v>
      </c>
      <c r="U33" s="55" t="n">
        <f aca="false">(Q33+R33+S33)*(FF_VAT_Mult-1)</f>
        <v>1.58375</v>
      </c>
      <c r="V33" s="55" t="n">
        <f aca="false">N(Countries!$F$16)</f>
        <v>15</v>
      </c>
      <c r="W33" s="55" t="n">
        <f aca="false">Fixed_Per_Order</f>
        <v>1.5844</v>
      </c>
      <c r="X33" s="56" t="n">
        <f aca="false">N(Countries!$G$16)</f>
        <v>0.03</v>
      </c>
      <c r="Y33" s="55" t="n">
        <f aca="false">X33*(L33-M33*P_Resell+(IF(Card_Ret_Label="Yes",Q33,0)+FF_Reverse)*FF_VAT_Mult)</f>
        <v>0.752230819672131</v>
      </c>
      <c r="Z33" s="55" t="n">
        <f aca="false">M33+Q33+R33+S33+T33+U33+V33+W33+Y33</f>
        <v>34.3631908196721</v>
      </c>
      <c r="AA33" s="53" t="str">
        <f aca="false">IF(E33=0,"",IF(NOT(ISNUMBER(Countries!$C$16)),"enter price",IF(O33=0,"pick courier",IF(P33=0,"too heavy","OK"))))</f>
        <v>OK</v>
      </c>
      <c r="AB33" s="55" t="n">
        <f aca="false">IF(AA33="OK",L33-Z33,"")</f>
        <v>-5.76483016393442</v>
      </c>
      <c r="AC33" s="56" t="n">
        <f aca="false">IF(ISNUMBER(AB33),IF(L33&gt;0,AB33/L33,0),"")</f>
        <v>-0.201579042705646</v>
      </c>
      <c r="AD33" s="55" t="n">
        <f aca="false">IF(ISNUMBER(AB33),AB33+V33,"")</f>
        <v>9.23516983606558</v>
      </c>
      <c r="AE33" s="58" t="n">
        <f aca="false">IF(ISNUMBER(AD33),IF(AD33&gt;0,I33/AD33,"never"),"")</f>
        <v>3.77794892994237</v>
      </c>
    </row>
    <row r="34" customFormat="false" ht="15" hidden="false" customHeight="false" outlineLevel="0" collapsed="false">
      <c r="A34" s="53" t="str">
        <f aca="false">Countries!$A$16</f>
        <v>Italy</v>
      </c>
      <c r="B34" s="54" t="n">
        <v>2</v>
      </c>
      <c r="C34" s="53" t="str">
        <f aca="false">'Product &amp; Offers'!$B$15</f>
        <v>Buy 2 Get 1 Free</v>
      </c>
      <c r="D34" s="53" t="str">
        <f aca="false">Countries!$B$16</f>
        <v>Poste Italiane</v>
      </c>
      <c r="E34" s="54" t="n">
        <f aca="false">'Product &amp; Offers'!$C$15+'Product &amp; Offers'!$D$15</f>
        <v>3</v>
      </c>
      <c r="F34" s="55" t="n">
        <f aca="false">N(Countries!$C$16)</f>
        <v>29.9</v>
      </c>
      <c r="G34" s="55" t="n">
        <f aca="false">'Product &amp; Offers'!$C$15*F34</f>
        <v>59.8</v>
      </c>
      <c r="H34" s="55" t="n">
        <f aca="false">IF(AND(ISNUMBER(Countries!$E$16),G34&gt;=Countries!$E$16),0,N(Countries!$D$16))</f>
        <v>0</v>
      </c>
      <c r="I34" s="55" t="n">
        <f aca="false">G34+H34</f>
        <v>59.8</v>
      </c>
      <c r="J34" s="56" t="n">
        <f aca="false">IF(VAT_On_Sales="Yes",IFERROR(INDEX(VAT_Rate,MATCH(A34,VAT_Country,0)),0),0)</f>
        <v>0.22</v>
      </c>
      <c r="K34" s="55" t="n">
        <f aca="false">I34-I34/(1+J34)</f>
        <v>10.783606557377</v>
      </c>
      <c r="L34" s="55" t="n">
        <f aca="false">I34-K34</f>
        <v>49.016393442623</v>
      </c>
      <c r="M34" s="55" t="n">
        <f aca="false">E34*P_Landed</f>
        <v>16.14</v>
      </c>
      <c r="N34" s="57" t="n">
        <f aca="false">E34*P_Weight+P_PackW</f>
        <v>0.8</v>
      </c>
      <c r="O34" s="54" t="n">
        <f aca="false">IFERROR(MATCH(1,INDEX((Dest_Country=A34)*(Dest_Courier=D34),0),0),0)</f>
        <v>23</v>
      </c>
      <c r="P34" s="55" t="n">
        <f aca="false">IF(O34=0,0,IFERROR(INDEX(Rate_Table,O34,COUNTIF(Rate_Weights,"&lt;"&amp;N34)+1),0))</f>
        <v>6.625</v>
      </c>
      <c r="Q34" s="55" t="n">
        <f aca="false">IF(P34&gt;0,P34*(1+INDEX(Dest_Fuel,O34))+INDEX(Dest_SMS,O34),0)</f>
        <v>7.18875</v>
      </c>
      <c r="R34" s="55" t="n">
        <f aca="false">IF(E34&gt;0,FF_Base+FF_Extra_Item*MAX(0,E34-2)+FF_Extra_5kg*ROUNDUP(MAX(0,N34-5)/5,0),0)</f>
        <v>1</v>
      </c>
      <c r="S34" s="55" t="n">
        <f aca="false">'Product &amp; Offers'!$E$15</f>
        <v>0.13</v>
      </c>
      <c r="T34" s="55" t="n">
        <f aca="false">I34*Stripe_Pct+Stripe_Fixed</f>
        <v>3.4892</v>
      </c>
      <c r="U34" s="55" t="n">
        <f aca="false">(Q34+R34+S34)*(FF_VAT_Mult-1)</f>
        <v>1.66375</v>
      </c>
      <c r="V34" s="55" t="n">
        <f aca="false">N(Countries!$F$16)</f>
        <v>15</v>
      </c>
      <c r="W34" s="55" t="n">
        <f aca="false">Fixed_Per_Order</f>
        <v>1.5844</v>
      </c>
      <c r="X34" s="56" t="n">
        <f aca="false">N(Countries!$G$16)</f>
        <v>0.03</v>
      </c>
      <c r="Y34" s="55" t="n">
        <f aca="false">X34*(L34-M34*P_Resell+(IF(Card_Ret_Label="Yes",Q34,0)+FF_Reverse)*FF_VAT_Mult)</f>
        <v>1.10653180327869</v>
      </c>
      <c r="Z34" s="55" t="n">
        <f aca="false">M34+Q34+R34+S34+T34+U34+V34+W34+Y34</f>
        <v>47.3026318032787</v>
      </c>
      <c r="AA34" s="53" t="str">
        <f aca="false">IF(E34=0,"",IF(NOT(ISNUMBER(Countries!$C$16)),"enter price",IF(O34=0,"pick courier",IF(P34=0,"too heavy","OK"))))</f>
        <v>OK</v>
      </c>
      <c r="AB34" s="55" t="n">
        <f aca="false">IF(AA34="OK",L34-Z34,"")</f>
        <v>1.71376163934426</v>
      </c>
      <c r="AC34" s="56" t="n">
        <f aca="false">IF(ISNUMBER(AB34),IF(L34&gt;0,AB34/L34,0),"")</f>
        <v>0.0349630301003345</v>
      </c>
      <c r="AD34" s="55" t="n">
        <f aca="false">IF(ISNUMBER(AB34),AB34+V34,"")</f>
        <v>16.7137616393443</v>
      </c>
      <c r="AE34" s="58" t="n">
        <f aca="false">IF(ISNUMBER(AD34),IF(AD34&gt;0,I34/AD34,"never"),"")</f>
        <v>3.57788996219921</v>
      </c>
    </row>
    <row r="35" customFormat="false" ht="15" hidden="false" customHeight="false" outlineLevel="0" collapsed="false">
      <c r="A35" s="53" t="str">
        <f aca="false">Countries!$A$16</f>
        <v>Italy</v>
      </c>
      <c r="B35" s="54" t="n">
        <v>3</v>
      </c>
      <c r="C35" s="53" t="str">
        <f aca="false">'Product &amp; Offers'!$B$16</f>
        <v>Buy 1 Get 1 Free</v>
      </c>
      <c r="D35" s="53" t="str">
        <f aca="false">Countries!$B$16</f>
        <v>Poste Italiane</v>
      </c>
      <c r="E35" s="54" t="n">
        <f aca="false">'Product &amp; Offers'!$C$16+'Product &amp; Offers'!$D$16</f>
        <v>2</v>
      </c>
      <c r="F35" s="55" t="n">
        <f aca="false">N(Countries!$C$16)</f>
        <v>29.9</v>
      </c>
      <c r="G35" s="55" t="n">
        <f aca="false">'Product &amp; Offers'!$C$16*F35</f>
        <v>29.9</v>
      </c>
      <c r="H35" s="55" t="n">
        <f aca="false">IF(AND(ISNUMBER(Countries!$E$16),G35&gt;=Countries!$E$16),0,N(Countries!$D$16))</f>
        <v>4.99</v>
      </c>
      <c r="I35" s="55" t="n">
        <f aca="false">G35+H35</f>
        <v>34.89</v>
      </c>
      <c r="J35" s="56" t="n">
        <f aca="false">IF(VAT_On_Sales="Yes",IFERROR(INDEX(VAT_Rate,MATCH(A35,VAT_Country,0)),0),0)</f>
        <v>0.22</v>
      </c>
      <c r="K35" s="55" t="n">
        <f aca="false">I35-I35/(1+J35)</f>
        <v>6.29163934426229</v>
      </c>
      <c r="L35" s="55" t="n">
        <f aca="false">I35-K35</f>
        <v>28.5983606557377</v>
      </c>
      <c r="M35" s="55" t="n">
        <f aca="false">E35*P_Landed</f>
        <v>10.76</v>
      </c>
      <c r="N35" s="57" t="n">
        <f aca="false">E35*P_Weight+P_PackW</f>
        <v>0.55</v>
      </c>
      <c r="O35" s="54" t="n">
        <f aca="false">IFERROR(MATCH(1,INDEX((Dest_Country=A35)*(Dest_Courier=D35),0),0),0)</f>
        <v>23</v>
      </c>
      <c r="P35" s="55" t="n">
        <f aca="false">IF(O35=0,0,IFERROR(INDEX(Rate_Table,O35,COUNTIF(Rate_Weights,"&lt;"&amp;N35)+1),0))</f>
        <v>6.625</v>
      </c>
      <c r="Q35" s="55" t="n">
        <f aca="false">IF(P35&gt;0,P35*(1+INDEX(Dest_Fuel,O35))+INDEX(Dest_SMS,O35),0)</f>
        <v>7.18875</v>
      </c>
      <c r="R35" s="55" t="n">
        <f aca="false">IF(E35&gt;0,FF_Base+FF_Extra_Item*MAX(0,E35-2)+FF_Extra_5kg*ROUNDUP(MAX(0,N35-5)/5,0),0)</f>
        <v>0.65</v>
      </c>
      <c r="S35" s="55" t="n">
        <f aca="false">'Product &amp; Offers'!$E$16</f>
        <v>0.08</v>
      </c>
      <c r="T35" s="55" t="n">
        <f aca="false">I35*Stripe_Pct+Stripe_Fixed</f>
        <v>2.14406</v>
      </c>
      <c r="U35" s="55" t="n">
        <f aca="false">(Q35+R35+S35)*(FF_VAT_Mult-1)</f>
        <v>1.58375</v>
      </c>
      <c r="V35" s="55" t="n">
        <f aca="false">N(Countries!$F$16)</f>
        <v>15</v>
      </c>
      <c r="W35" s="55" t="n">
        <f aca="false">Fixed_Per_Order</f>
        <v>1.5844</v>
      </c>
      <c r="X35" s="56" t="n">
        <f aca="false">N(Countries!$G$16)</f>
        <v>0.03</v>
      </c>
      <c r="Y35" s="55" t="n">
        <f aca="false">X35*(L35-M35*P_Resell+(IF(Card_Ret_Label="Yes",Q35,0)+FF_Reverse)*FF_VAT_Mult)</f>
        <v>0.623110819672131</v>
      </c>
      <c r="Z35" s="55" t="n">
        <f aca="false">M35+Q35+R35+S35+T35+U35+V35+W35+Y35</f>
        <v>39.6140708196721</v>
      </c>
      <c r="AA35" s="53" t="str">
        <f aca="false">IF(E35=0,"",IF(NOT(ISNUMBER(Countries!$C$16)),"enter price",IF(O35=0,"pick courier",IF(P35=0,"too heavy","OK"))))</f>
        <v>OK</v>
      </c>
      <c r="AB35" s="55" t="n">
        <f aca="false">IF(AA35="OK",L35-Z35,"")</f>
        <v>-11.0157101639344</v>
      </c>
      <c r="AC35" s="56" t="n">
        <f aca="false">IF(ISNUMBER(AB35),IF(L35&gt;0,AB35/L35,0),"")</f>
        <v>-0.385186769848094</v>
      </c>
      <c r="AD35" s="55" t="n">
        <f aca="false">IF(ISNUMBER(AB35),AB35+V35,"")</f>
        <v>3.98428983606559</v>
      </c>
      <c r="AE35" s="58" t="n">
        <f aca="false">IF(ISNUMBER(AD35),IF(AD35&gt;0,I35/AD35,"never"),"")</f>
        <v>8.75689305636792</v>
      </c>
    </row>
    <row r="36" customFormat="false" ht="15" hidden="false" customHeight="false" outlineLevel="0" collapsed="false">
      <c r="A36" s="53" t="str">
        <f aca="false">Countries!$A$17</f>
        <v>Austria</v>
      </c>
      <c r="B36" s="54" t="n">
        <v>1</v>
      </c>
      <c r="C36" s="53" t="str">
        <f aca="false">'Product &amp; Offers'!$B$14</f>
        <v>Buy 1</v>
      </c>
      <c r="D36" s="53" t="str">
        <f aca="false">Countries!$B$17</f>
        <v>DPD AT</v>
      </c>
      <c r="E36" s="54" t="n">
        <f aca="false">'Product &amp; Offers'!$C$14+'Product &amp; Offers'!$D$14</f>
        <v>1</v>
      </c>
      <c r="F36" s="55" t="n">
        <f aca="false">N(Countries!$C$17)</f>
        <v>29.9</v>
      </c>
      <c r="G36" s="55" t="n">
        <f aca="false">'Product &amp; Offers'!$C$14*F36</f>
        <v>29.9</v>
      </c>
      <c r="H36" s="55" t="n">
        <f aca="false">IF(AND(ISNUMBER(Countries!$E$17),G36&gt;=Countries!$E$17),0,N(Countries!$D$17))</f>
        <v>4.99</v>
      </c>
      <c r="I36" s="55" t="n">
        <f aca="false">G36+H36</f>
        <v>34.89</v>
      </c>
      <c r="J36" s="56" t="n">
        <f aca="false">IF(VAT_On_Sales="Yes",IFERROR(INDEX(VAT_Rate,MATCH(A36,VAT_Country,0)),0),0)</f>
        <v>0.2</v>
      </c>
      <c r="K36" s="55" t="n">
        <f aca="false">I36-I36/(1+J36)</f>
        <v>5.815</v>
      </c>
      <c r="L36" s="55" t="n">
        <f aca="false">I36-K36</f>
        <v>29.075</v>
      </c>
      <c r="M36" s="55" t="n">
        <f aca="false">E36*P_Landed</f>
        <v>5.38</v>
      </c>
      <c r="N36" s="57" t="n">
        <f aca="false">E36*P_Weight+P_PackW</f>
        <v>0.3</v>
      </c>
      <c r="O36" s="54" t="n">
        <f aca="false">IFERROR(MATCH(1,INDEX((Dest_Country=A36)*(Dest_Courier=D36),0),0),0)</f>
        <v>24</v>
      </c>
      <c r="P36" s="55" t="n">
        <f aca="false">IF(O36=0,0,IFERROR(INDEX(Rate_Table,O36,COUNTIF(Rate_Weights,"&lt;"&amp;N36)+1),0))</f>
        <v>6.4125</v>
      </c>
      <c r="Q36" s="55" t="n">
        <f aca="false">IF(P36&gt;0,P36*(1+INDEX(Dest_Fuel,O36))+INDEX(Dest_SMS,O36),0)</f>
        <v>6.89725</v>
      </c>
      <c r="R36" s="55" t="n">
        <f aca="false">IF(E36&gt;0,FF_Base+FF_Extra_Item*MAX(0,E36-2)+FF_Extra_5kg*ROUNDUP(MAX(0,N36-5)/5,0),0)</f>
        <v>0.65</v>
      </c>
      <c r="S36" s="55" t="n">
        <f aca="false">'Product &amp; Offers'!$E$14</f>
        <v>0.08</v>
      </c>
      <c r="T36" s="55" t="n">
        <f aca="false">I36*Stripe_Pct+Stripe_Fixed</f>
        <v>2.14406</v>
      </c>
      <c r="U36" s="55" t="n">
        <f aca="false">(Q36+R36+S36)*(FF_VAT_Mult-1)</f>
        <v>1.52545</v>
      </c>
      <c r="V36" s="55" t="n">
        <f aca="false">N(Countries!$F$17)</f>
        <v>15</v>
      </c>
      <c r="W36" s="55" t="n">
        <f aca="false">Fixed_Per_Order</f>
        <v>1.5844</v>
      </c>
      <c r="X36" s="56" t="n">
        <f aca="false">N(Countries!$G$17)</f>
        <v>0.03</v>
      </c>
      <c r="Y36" s="55" t="n">
        <f aca="false">X36*(L36-M36*P_Resell+(IF(Card_Ret_Label="Yes",Q36,0)+FF_Reverse)*FF_VAT_Mult)</f>
        <v>0.76653</v>
      </c>
      <c r="Z36" s="55" t="n">
        <f aca="false">M36+Q36+R36+S36+T36+U36+V36+W36+Y36</f>
        <v>34.02769</v>
      </c>
      <c r="AA36" s="53" t="str">
        <f aca="false">IF(E36=0,"",IF(NOT(ISNUMBER(Countries!$C$17)),"enter price",IF(O36=0,"pick courier",IF(P36=0,"too heavy","OK"))))</f>
        <v>OK</v>
      </c>
      <c r="AB36" s="55" t="n">
        <f aca="false">IF(AA36="OK",L36-Z36,"")</f>
        <v>-4.95269</v>
      </c>
      <c r="AC36" s="56" t="n">
        <f aca="false">IF(ISNUMBER(AB36),IF(L36&gt;0,AB36/L36,0),"")</f>
        <v>-0.170341874462597</v>
      </c>
      <c r="AD36" s="55" t="n">
        <f aca="false">IF(ISNUMBER(AB36),AB36+V36,"")</f>
        <v>10.04731</v>
      </c>
      <c r="AE36" s="58" t="n">
        <f aca="false">IF(ISNUMBER(AD36),IF(AD36&gt;0,I36/AD36,"never"),"")</f>
        <v>3.47257126534366</v>
      </c>
    </row>
    <row r="37" customFormat="false" ht="15" hidden="false" customHeight="false" outlineLevel="0" collapsed="false">
      <c r="A37" s="53" t="str">
        <f aca="false">Countries!$A$17</f>
        <v>Austria</v>
      </c>
      <c r="B37" s="54" t="n">
        <v>2</v>
      </c>
      <c r="C37" s="53" t="str">
        <f aca="false">'Product &amp; Offers'!$B$15</f>
        <v>Buy 2 Get 1 Free</v>
      </c>
      <c r="D37" s="53" t="str">
        <f aca="false">Countries!$B$17</f>
        <v>DPD AT</v>
      </c>
      <c r="E37" s="54" t="n">
        <f aca="false">'Product &amp; Offers'!$C$15+'Product &amp; Offers'!$D$15</f>
        <v>3</v>
      </c>
      <c r="F37" s="55" t="n">
        <f aca="false">N(Countries!$C$17)</f>
        <v>29.9</v>
      </c>
      <c r="G37" s="55" t="n">
        <f aca="false">'Product &amp; Offers'!$C$15*F37</f>
        <v>59.8</v>
      </c>
      <c r="H37" s="55" t="n">
        <f aca="false">IF(AND(ISNUMBER(Countries!$E$17),G37&gt;=Countries!$E$17),0,N(Countries!$D$17))</f>
        <v>0</v>
      </c>
      <c r="I37" s="55" t="n">
        <f aca="false">G37+H37</f>
        <v>59.8</v>
      </c>
      <c r="J37" s="56" t="n">
        <f aca="false">IF(VAT_On_Sales="Yes",IFERROR(INDEX(VAT_Rate,MATCH(A37,VAT_Country,0)),0),0)</f>
        <v>0.2</v>
      </c>
      <c r="K37" s="55" t="n">
        <f aca="false">I37-I37/(1+J37)</f>
        <v>9.96666666666666</v>
      </c>
      <c r="L37" s="55" t="n">
        <f aca="false">I37-K37</f>
        <v>49.8333333333333</v>
      </c>
      <c r="M37" s="55" t="n">
        <f aca="false">E37*P_Landed</f>
        <v>16.14</v>
      </c>
      <c r="N37" s="57" t="n">
        <f aca="false">E37*P_Weight+P_PackW</f>
        <v>0.8</v>
      </c>
      <c r="O37" s="54" t="n">
        <f aca="false">IFERROR(MATCH(1,INDEX((Dest_Country=A37)*(Dest_Courier=D37),0),0),0)</f>
        <v>24</v>
      </c>
      <c r="P37" s="55" t="n">
        <f aca="false">IF(O37=0,0,IFERROR(INDEX(Rate_Table,O37,COUNTIF(Rate_Weights,"&lt;"&amp;N37)+1),0))</f>
        <v>6.4125</v>
      </c>
      <c r="Q37" s="55" t="n">
        <f aca="false">IF(P37&gt;0,P37*(1+INDEX(Dest_Fuel,O37))+INDEX(Dest_SMS,O37),0)</f>
        <v>6.89725</v>
      </c>
      <c r="R37" s="55" t="n">
        <f aca="false">IF(E37&gt;0,FF_Base+FF_Extra_Item*MAX(0,E37-2)+FF_Extra_5kg*ROUNDUP(MAX(0,N37-5)/5,0),0)</f>
        <v>1</v>
      </c>
      <c r="S37" s="55" t="n">
        <f aca="false">'Product &amp; Offers'!$E$15</f>
        <v>0.13</v>
      </c>
      <c r="T37" s="55" t="n">
        <f aca="false">I37*Stripe_Pct+Stripe_Fixed</f>
        <v>3.4892</v>
      </c>
      <c r="U37" s="55" t="n">
        <f aca="false">(Q37+R37+S37)*(FF_VAT_Mult-1)</f>
        <v>1.60545</v>
      </c>
      <c r="V37" s="55" t="n">
        <f aca="false">N(Countries!$F$17)</f>
        <v>15</v>
      </c>
      <c r="W37" s="55" t="n">
        <f aca="false">Fixed_Per_Order</f>
        <v>1.5844</v>
      </c>
      <c r="X37" s="56" t="n">
        <f aca="false">N(Countries!$G$17)</f>
        <v>0.03</v>
      </c>
      <c r="Y37" s="55" t="n">
        <f aca="false">X37*(L37-M37*P_Resell+(IF(Card_Ret_Label="Yes",Q37,0)+FF_Reverse)*FF_VAT_Mult)</f>
        <v>1.13104</v>
      </c>
      <c r="Z37" s="55" t="n">
        <f aca="false">M37+Q37+R37+S37+T37+U37+V37+W37+Y37</f>
        <v>46.97734</v>
      </c>
      <c r="AA37" s="53" t="str">
        <f aca="false">IF(E37=0,"",IF(NOT(ISNUMBER(Countries!$C$17)),"enter price",IF(O37=0,"pick courier",IF(P37=0,"too heavy","OK"))))</f>
        <v>OK</v>
      </c>
      <c r="AB37" s="55" t="n">
        <f aca="false">IF(AA37="OK",L37-Z37,"")</f>
        <v>2.85599333333334</v>
      </c>
      <c r="AC37" s="56" t="n">
        <f aca="false">IF(ISNUMBER(AB37),IF(L37&gt;0,AB37/L37,0),"")</f>
        <v>0.0573109030100335</v>
      </c>
      <c r="AD37" s="55" t="n">
        <f aca="false">IF(ISNUMBER(AB37),AB37+V37,"")</f>
        <v>17.8559933333333</v>
      </c>
      <c r="AE37" s="58" t="n">
        <f aca="false">IF(ISNUMBER(AD37),IF(AD37&gt;0,I37/AD37,"never"),"")</f>
        <v>3.34901558729674</v>
      </c>
    </row>
    <row r="38" customFormat="false" ht="15" hidden="false" customHeight="false" outlineLevel="0" collapsed="false">
      <c r="A38" s="53" t="str">
        <f aca="false">Countries!$A$17</f>
        <v>Austria</v>
      </c>
      <c r="B38" s="54" t="n">
        <v>3</v>
      </c>
      <c r="C38" s="53" t="str">
        <f aca="false">'Product &amp; Offers'!$B$16</f>
        <v>Buy 1 Get 1 Free</v>
      </c>
      <c r="D38" s="53" t="str">
        <f aca="false">Countries!$B$17</f>
        <v>DPD AT</v>
      </c>
      <c r="E38" s="54" t="n">
        <f aca="false">'Product &amp; Offers'!$C$16+'Product &amp; Offers'!$D$16</f>
        <v>2</v>
      </c>
      <c r="F38" s="55" t="n">
        <f aca="false">N(Countries!$C$17)</f>
        <v>29.9</v>
      </c>
      <c r="G38" s="55" t="n">
        <f aca="false">'Product &amp; Offers'!$C$16*F38</f>
        <v>29.9</v>
      </c>
      <c r="H38" s="55" t="n">
        <f aca="false">IF(AND(ISNUMBER(Countries!$E$17),G38&gt;=Countries!$E$17),0,N(Countries!$D$17))</f>
        <v>4.99</v>
      </c>
      <c r="I38" s="55" t="n">
        <f aca="false">G38+H38</f>
        <v>34.89</v>
      </c>
      <c r="J38" s="56" t="n">
        <f aca="false">IF(VAT_On_Sales="Yes",IFERROR(INDEX(VAT_Rate,MATCH(A38,VAT_Country,0)),0),0)</f>
        <v>0.2</v>
      </c>
      <c r="K38" s="55" t="n">
        <f aca="false">I38-I38/(1+J38)</f>
        <v>5.815</v>
      </c>
      <c r="L38" s="55" t="n">
        <f aca="false">I38-K38</f>
        <v>29.075</v>
      </c>
      <c r="M38" s="55" t="n">
        <f aca="false">E38*P_Landed</f>
        <v>10.76</v>
      </c>
      <c r="N38" s="57" t="n">
        <f aca="false">E38*P_Weight+P_PackW</f>
        <v>0.55</v>
      </c>
      <c r="O38" s="54" t="n">
        <f aca="false">IFERROR(MATCH(1,INDEX((Dest_Country=A38)*(Dest_Courier=D38),0),0),0)</f>
        <v>24</v>
      </c>
      <c r="P38" s="55" t="n">
        <f aca="false">IF(O38=0,0,IFERROR(INDEX(Rate_Table,O38,COUNTIF(Rate_Weights,"&lt;"&amp;N38)+1),0))</f>
        <v>6.4125</v>
      </c>
      <c r="Q38" s="55" t="n">
        <f aca="false">IF(P38&gt;0,P38*(1+INDEX(Dest_Fuel,O38))+INDEX(Dest_SMS,O38),0)</f>
        <v>6.89725</v>
      </c>
      <c r="R38" s="55" t="n">
        <f aca="false">IF(E38&gt;0,FF_Base+FF_Extra_Item*MAX(0,E38-2)+FF_Extra_5kg*ROUNDUP(MAX(0,N38-5)/5,0),0)</f>
        <v>0.65</v>
      </c>
      <c r="S38" s="55" t="n">
        <f aca="false">'Product &amp; Offers'!$E$16</f>
        <v>0.08</v>
      </c>
      <c r="T38" s="55" t="n">
        <f aca="false">I38*Stripe_Pct+Stripe_Fixed</f>
        <v>2.14406</v>
      </c>
      <c r="U38" s="55" t="n">
        <f aca="false">(Q38+R38+S38)*(FF_VAT_Mult-1)</f>
        <v>1.52545</v>
      </c>
      <c r="V38" s="55" t="n">
        <f aca="false">N(Countries!$F$17)</f>
        <v>15</v>
      </c>
      <c r="W38" s="55" t="n">
        <f aca="false">Fixed_Per_Order</f>
        <v>1.5844</v>
      </c>
      <c r="X38" s="56" t="n">
        <f aca="false">N(Countries!$G$17)</f>
        <v>0.03</v>
      </c>
      <c r="Y38" s="55" t="n">
        <f aca="false">X38*(L38-M38*P_Resell+(IF(Card_Ret_Label="Yes",Q38,0)+FF_Reverse)*FF_VAT_Mult)</f>
        <v>0.63741</v>
      </c>
      <c r="Z38" s="55" t="n">
        <f aca="false">M38+Q38+R38+S38+T38+U38+V38+W38+Y38</f>
        <v>39.27857</v>
      </c>
      <c r="AA38" s="53" t="str">
        <f aca="false">IF(E38=0,"",IF(NOT(ISNUMBER(Countries!$C$17)),"enter price",IF(O38=0,"pick courier",IF(P38=0,"too heavy","OK"))))</f>
        <v>OK</v>
      </c>
      <c r="AB38" s="55" t="n">
        <f aca="false">IF(AA38="OK",L38-Z38,"")</f>
        <v>-10.20357</v>
      </c>
      <c r="AC38" s="56" t="n">
        <f aca="false">IF(ISNUMBER(AB38),IF(L38&gt;0,AB38/L38,0),"")</f>
        <v>-0.350939638865004</v>
      </c>
      <c r="AD38" s="55" t="n">
        <f aca="false">IF(ISNUMBER(AB38),AB38+V38,"")</f>
        <v>4.79643</v>
      </c>
      <c r="AE38" s="58" t="n">
        <f aca="false">IF(ISNUMBER(AD38),IF(AD38&gt;0,I38/AD38,"never"),"")</f>
        <v>7.27416015661648</v>
      </c>
    </row>
    <row r="39" customFormat="false" ht="15" hidden="false" customHeight="false" outlineLevel="0" collapsed="false">
      <c r="A39" s="53" t="str">
        <f aca="false">Countries!$A$18</f>
        <v>Germany</v>
      </c>
      <c r="B39" s="54" t="n">
        <v>1</v>
      </c>
      <c r="C39" s="53" t="str">
        <f aca="false">'Product &amp; Offers'!$B$14</f>
        <v>Buy 1</v>
      </c>
      <c r="D39" s="53" t="str">
        <f aca="false">Countries!$B$18</f>
        <v>Hermes</v>
      </c>
      <c r="E39" s="54" t="n">
        <f aca="false">'Product &amp; Offers'!$C$14+'Product &amp; Offers'!$D$14</f>
        <v>1</v>
      </c>
      <c r="F39" s="55" t="n">
        <f aca="false">N(Countries!$C$18)</f>
        <v>29.9</v>
      </c>
      <c r="G39" s="55" t="n">
        <f aca="false">'Product &amp; Offers'!$C$14*F39</f>
        <v>29.9</v>
      </c>
      <c r="H39" s="55" t="n">
        <f aca="false">IF(AND(ISNUMBER(Countries!$E$18),G39&gt;=Countries!$E$18),0,N(Countries!$D$18))</f>
        <v>4.99</v>
      </c>
      <c r="I39" s="55" t="n">
        <f aca="false">G39+H39</f>
        <v>34.89</v>
      </c>
      <c r="J39" s="56" t="n">
        <f aca="false">IF(VAT_On_Sales="Yes",IFERROR(INDEX(VAT_Rate,MATCH(A39,VAT_Country,0)),0),0)</f>
        <v>0.19</v>
      </c>
      <c r="K39" s="55" t="n">
        <f aca="false">I39-I39/(1+J39)</f>
        <v>5.57067226890756</v>
      </c>
      <c r="L39" s="55" t="n">
        <f aca="false">I39-K39</f>
        <v>29.3193277310924</v>
      </c>
      <c r="M39" s="55" t="n">
        <f aca="false">E39*P_Landed</f>
        <v>5.38</v>
      </c>
      <c r="N39" s="57" t="n">
        <f aca="false">E39*P_Weight+P_PackW</f>
        <v>0.3</v>
      </c>
      <c r="O39" s="54" t="n">
        <f aca="false">IFERROR(MATCH(1,INDEX((Dest_Country=A39)*(Dest_Courier=D39),0),0),0)</f>
        <v>25</v>
      </c>
      <c r="P39" s="55" t="n">
        <f aca="false">IF(O39=0,0,IFERROR(INDEX(Rate_Table,O39,COUNTIF(Rate_Weights,"&lt;"&amp;N39)+1),0))</f>
        <v>6.3629794009696</v>
      </c>
      <c r="Q39" s="55" t="n">
        <f aca="false">IF(P39&gt;0,P39*(1+INDEX(Dest_Fuel,O39))+INDEX(Dest_SMS,O39),0)</f>
        <v>6.3629794009696</v>
      </c>
      <c r="R39" s="55" t="n">
        <f aca="false">IF(E39&gt;0,FF_Base+FF_Extra_Item*MAX(0,E39-2)+FF_Extra_5kg*ROUNDUP(MAX(0,N39-5)/5,0),0)</f>
        <v>0.65</v>
      </c>
      <c r="S39" s="55" t="n">
        <f aca="false">'Product &amp; Offers'!$E$14</f>
        <v>0.08</v>
      </c>
      <c r="T39" s="55" t="n">
        <f aca="false">I39*Stripe_Pct+Stripe_Fixed</f>
        <v>2.14406</v>
      </c>
      <c r="U39" s="55" t="n">
        <f aca="false">(Q39+R39+S39)*(FF_VAT_Mult-1)</f>
        <v>1.41859588019392</v>
      </c>
      <c r="V39" s="55" t="n">
        <f aca="false">N(Countries!$F$18)</f>
        <v>15</v>
      </c>
      <c r="W39" s="55" t="n">
        <f aca="false">Fixed_Per_Order</f>
        <v>1.5844</v>
      </c>
      <c r="X39" s="56" t="n">
        <f aca="false">N(Countries!$G$18)</f>
        <v>0.03</v>
      </c>
      <c r="Y39" s="55" t="n">
        <f aca="false">X39*(L39-M39*P_Resell+(IF(Card_Ret_Label="Yes",Q39,0)+FF_Reverse)*FF_VAT_Mult)</f>
        <v>0.773859831932773</v>
      </c>
      <c r="Z39" s="55" t="n">
        <f aca="false">M39+Q39+R39+S39+T39+U39+V39+W39+Y39</f>
        <v>33.3938951130963</v>
      </c>
      <c r="AA39" s="53" t="str">
        <f aca="false">IF(E39=0,"",IF(NOT(ISNUMBER(Countries!$C$18)),"enter price",IF(O39=0,"pick courier",IF(P39=0,"too heavy","OK"))))</f>
        <v>OK</v>
      </c>
      <c r="AB39" s="55" t="n">
        <f aca="false">IF(AA39="OK",L39-Z39,"")</f>
        <v>-4.07456738200385</v>
      </c>
      <c r="AC39" s="56" t="n">
        <f aca="false">IF(ISNUMBER(AB39),IF(L39&gt;0,AB39/L39,0),"")</f>
        <v>-0.138972060320567</v>
      </c>
      <c r="AD39" s="55" t="n">
        <f aca="false">IF(ISNUMBER(AB39),AB39+V39,"")</f>
        <v>10.9254326179961</v>
      </c>
      <c r="AE39" s="58" t="n">
        <f aca="false">IF(ISNUMBER(AD39),IF(AD39&gt;0,I39/AD39,"never"),"")</f>
        <v>3.19346621959207</v>
      </c>
    </row>
    <row r="40" customFormat="false" ht="15" hidden="false" customHeight="false" outlineLevel="0" collapsed="false">
      <c r="A40" s="53" t="str">
        <f aca="false">Countries!$A$18</f>
        <v>Germany</v>
      </c>
      <c r="B40" s="54" t="n">
        <v>2</v>
      </c>
      <c r="C40" s="53" t="str">
        <f aca="false">'Product &amp; Offers'!$B$15</f>
        <v>Buy 2 Get 1 Free</v>
      </c>
      <c r="D40" s="53" t="str">
        <f aca="false">Countries!$B$18</f>
        <v>Hermes</v>
      </c>
      <c r="E40" s="54" t="n">
        <f aca="false">'Product &amp; Offers'!$C$15+'Product &amp; Offers'!$D$15</f>
        <v>3</v>
      </c>
      <c r="F40" s="55" t="n">
        <f aca="false">N(Countries!$C$18)</f>
        <v>29.9</v>
      </c>
      <c r="G40" s="55" t="n">
        <f aca="false">'Product &amp; Offers'!$C$15*F40</f>
        <v>59.8</v>
      </c>
      <c r="H40" s="55" t="n">
        <f aca="false">IF(AND(ISNUMBER(Countries!$E$18),G40&gt;=Countries!$E$18),0,N(Countries!$D$18))</f>
        <v>0</v>
      </c>
      <c r="I40" s="55" t="n">
        <f aca="false">G40+H40</f>
        <v>59.8</v>
      </c>
      <c r="J40" s="56" t="n">
        <f aca="false">IF(VAT_On_Sales="Yes",IFERROR(INDEX(VAT_Rate,MATCH(A40,VAT_Country,0)),0),0)</f>
        <v>0.19</v>
      </c>
      <c r="K40" s="55" t="n">
        <f aca="false">I40-I40/(1+J40)</f>
        <v>9.54789915966386</v>
      </c>
      <c r="L40" s="55" t="n">
        <f aca="false">I40-K40</f>
        <v>50.2521008403361</v>
      </c>
      <c r="M40" s="55" t="n">
        <f aca="false">E40*P_Landed</f>
        <v>16.14</v>
      </c>
      <c r="N40" s="57" t="n">
        <f aca="false">E40*P_Weight+P_PackW</f>
        <v>0.8</v>
      </c>
      <c r="O40" s="54" t="n">
        <f aca="false">IFERROR(MATCH(1,INDEX((Dest_Country=A40)*(Dest_Courier=D40),0),0),0)</f>
        <v>25</v>
      </c>
      <c r="P40" s="55" t="n">
        <f aca="false">IF(O40=0,0,IFERROR(INDEX(Rate_Table,O40,COUNTIF(Rate_Weights,"&lt;"&amp;N40)+1),0))</f>
        <v>7.12809255333765</v>
      </c>
      <c r="Q40" s="55" t="n">
        <f aca="false">IF(P40&gt;0,P40*(1+INDEX(Dest_Fuel,O40))+INDEX(Dest_SMS,O40),0)</f>
        <v>7.12809255333765</v>
      </c>
      <c r="R40" s="55" t="n">
        <f aca="false">IF(E40&gt;0,FF_Base+FF_Extra_Item*MAX(0,E40-2)+FF_Extra_5kg*ROUNDUP(MAX(0,N40-5)/5,0),0)</f>
        <v>1</v>
      </c>
      <c r="S40" s="55" t="n">
        <f aca="false">'Product &amp; Offers'!$E$15</f>
        <v>0.13</v>
      </c>
      <c r="T40" s="55" t="n">
        <f aca="false">I40*Stripe_Pct+Stripe_Fixed</f>
        <v>3.4892</v>
      </c>
      <c r="U40" s="55" t="n">
        <f aca="false">(Q40+R40+S40)*(FF_VAT_Mult-1)</f>
        <v>1.65161851066753</v>
      </c>
      <c r="V40" s="55" t="n">
        <f aca="false">N(Countries!$F$18)</f>
        <v>15</v>
      </c>
      <c r="W40" s="55" t="n">
        <f aca="false">Fixed_Per_Order</f>
        <v>1.5844</v>
      </c>
      <c r="X40" s="56" t="n">
        <f aca="false">N(Countries!$G$18)</f>
        <v>0.03</v>
      </c>
      <c r="Y40" s="55" t="n">
        <f aca="false">X40*(L40-M40*P_Resell+(IF(Card_Ret_Label="Yes",Q40,0)+FF_Reverse)*FF_VAT_Mult)</f>
        <v>1.14360302521008</v>
      </c>
      <c r="Z40" s="55" t="n">
        <f aca="false">M40+Q40+R40+S40+T40+U40+V40+W40+Y40</f>
        <v>47.2669140892153</v>
      </c>
      <c r="AA40" s="53" t="str">
        <f aca="false">IF(E40=0,"",IF(NOT(ISNUMBER(Countries!$C$18)),"enter price",IF(O40=0,"pick courier",IF(P40=0,"too heavy","OK"))))</f>
        <v>OK</v>
      </c>
      <c r="AB40" s="55" t="n">
        <f aca="false">IF(AA40="OK",L40-Z40,"")</f>
        <v>2.98518675112087</v>
      </c>
      <c r="AC40" s="56" t="n">
        <f aca="false">IF(ISNUMBER(AB40),IF(L40&gt;0,AB40/L40,0),"")</f>
        <v>0.0594042179570876</v>
      </c>
      <c r="AD40" s="55" t="n">
        <f aca="false">IF(ISNUMBER(AB40),AB40+V40,"")</f>
        <v>17.9851867511209</v>
      </c>
      <c r="AE40" s="58" t="n">
        <f aca="false">IF(ISNUMBER(AD40),IF(AD40&gt;0,I40/AD40,"never"),"")</f>
        <v>3.32495852434077</v>
      </c>
    </row>
    <row r="41" customFormat="false" ht="15" hidden="false" customHeight="false" outlineLevel="0" collapsed="false">
      <c r="A41" s="53" t="str">
        <f aca="false">Countries!$A$18</f>
        <v>Germany</v>
      </c>
      <c r="B41" s="54" t="n">
        <v>3</v>
      </c>
      <c r="C41" s="53" t="str">
        <f aca="false">'Product &amp; Offers'!$B$16</f>
        <v>Buy 1 Get 1 Free</v>
      </c>
      <c r="D41" s="53" t="str">
        <f aca="false">Countries!$B$18</f>
        <v>Hermes</v>
      </c>
      <c r="E41" s="54" t="n">
        <f aca="false">'Product &amp; Offers'!$C$16+'Product &amp; Offers'!$D$16</f>
        <v>2</v>
      </c>
      <c r="F41" s="55" t="n">
        <f aca="false">N(Countries!$C$18)</f>
        <v>29.9</v>
      </c>
      <c r="G41" s="55" t="n">
        <f aca="false">'Product &amp; Offers'!$C$16*F41</f>
        <v>29.9</v>
      </c>
      <c r="H41" s="55" t="n">
        <f aca="false">IF(AND(ISNUMBER(Countries!$E$18),G41&gt;=Countries!$E$18),0,N(Countries!$D$18))</f>
        <v>4.99</v>
      </c>
      <c r="I41" s="55" t="n">
        <f aca="false">G41+H41</f>
        <v>34.89</v>
      </c>
      <c r="J41" s="56" t="n">
        <f aca="false">IF(VAT_On_Sales="Yes",IFERROR(INDEX(VAT_Rate,MATCH(A41,VAT_Country,0)),0),0)</f>
        <v>0.19</v>
      </c>
      <c r="K41" s="55" t="n">
        <f aca="false">I41-I41/(1+J41)</f>
        <v>5.57067226890756</v>
      </c>
      <c r="L41" s="55" t="n">
        <f aca="false">I41-K41</f>
        <v>29.3193277310924</v>
      </c>
      <c r="M41" s="55" t="n">
        <f aca="false">E41*P_Landed</f>
        <v>10.76</v>
      </c>
      <c r="N41" s="57" t="n">
        <f aca="false">E41*P_Weight+P_PackW</f>
        <v>0.55</v>
      </c>
      <c r="O41" s="54" t="n">
        <f aca="false">IFERROR(MATCH(1,INDEX((Dest_Country=A41)*(Dest_Courier=D41),0),0),0)</f>
        <v>25</v>
      </c>
      <c r="P41" s="55" t="n">
        <f aca="false">IF(O41=0,0,IFERROR(INDEX(Rate_Table,O41,COUNTIF(Rate_Weights,"&lt;"&amp;N41)+1),0))</f>
        <v>7.12809255333765</v>
      </c>
      <c r="Q41" s="55" t="n">
        <f aca="false">IF(P41&gt;0,P41*(1+INDEX(Dest_Fuel,O41))+INDEX(Dest_SMS,O41),0)</f>
        <v>7.12809255333765</v>
      </c>
      <c r="R41" s="55" t="n">
        <f aca="false">IF(E41&gt;0,FF_Base+FF_Extra_Item*MAX(0,E41-2)+FF_Extra_5kg*ROUNDUP(MAX(0,N41-5)/5,0),0)</f>
        <v>0.65</v>
      </c>
      <c r="S41" s="55" t="n">
        <f aca="false">'Product &amp; Offers'!$E$16</f>
        <v>0.08</v>
      </c>
      <c r="T41" s="55" t="n">
        <f aca="false">I41*Stripe_Pct+Stripe_Fixed</f>
        <v>2.14406</v>
      </c>
      <c r="U41" s="55" t="n">
        <f aca="false">(Q41+R41+S41)*(FF_VAT_Mult-1)</f>
        <v>1.57161851066753</v>
      </c>
      <c r="V41" s="55" t="n">
        <f aca="false">N(Countries!$F$18)</f>
        <v>15</v>
      </c>
      <c r="W41" s="55" t="n">
        <f aca="false">Fixed_Per_Order</f>
        <v>1.5844</v>
      </c>
      <c r="X41" s="56" t="n">
        <f aca="false">N(Countries!$G$18)</f>
        <v>0.03</v>
      </c>
      <c r="Y41" s="55" t="n">
        <f aca="false">X41*(L41-M41*P_Resell+(IF(Card_Ret_Label="Yes",Q41,0)+FF_Reverse)*FF_VAT_Mult)</f>
        <v>0.644739831932773</v>
      </c>
      <c r="Z41" s="55" t="n">
        <f aca="false">M41+Q41+R41+S41+T41+U41+V41+W41+Y41</f>
        <v>39.562910895938</v>
      </c>
      <c r="AA41" s="53" t="str">
        <f aca="false">IF(E41=0,"",IF(NOT(ISNUMBER(Countries!$C$18)),"enter price",IF(O41=0,"pick courier",IF(P41=0,"too heavy","OK"))))</f>
        <v>OK</v>
      </c>
      <c r="AB41" s="55" t="n">
        <f aca="false">IF(AA41="OK",L41-Z41,"")</f>
        <v>-10.2435831648455</v>
      </c>
      <c r="AC41" s="56" t="n">
        <f aca="false">IF(ISNUMBER(AB41),IF(L41&gt;0,AB41/L41,0),"")</f>
        <v>-0.349379878651939</v>
      </c>
      <c r="AD41" s="55" t="n">
        <f aca="false">IF(ISNUMBER(AB41),AB41+V41,"")</f>
        <v>4.75641683515449</v>
      </c>
      <c r="AE41" s="58" t="n">
        <f aca="false">IF(ISNUMBER(AD41),IF(AD41&gt;0,I41/AD41,"never"),"")</f>
        <v>7.33535373563759</v>
      </c>
    </row>
    <row r="42" customFormat="false" ht="15" hidden="false" customHeight="false" outlineLevel="0" collapsed="false">
      <c r="A42" s="53" t="str">
        <f aca="false">Countries!$A$19</f>
        <v>Lithuania</v>
      </c>
      <c r="B42" s="54" t="n">
        <v>1</v>
      </c>
      <c r="C42" s="53" t="str">
        <f aca="false">'Product &amp; Offers'!$B$14</f>
        <v>Buy 1</v>
      </c>
      <c r="D42" s="53" t="str">
        <f aca="false">Countries!$B$19</f>
        <v>Venipak</v>
      </c>
      <c r="E42" s="54" t="n">
        <f aca="false">'Product &amp; Offers'!$C$14+'Product &amp; Offers'!$D$14</f>
        <v>1</v>
      </c>
      <c r="F42" s="55" t="n">
        <f aca="false">N(Countries!$C$19)</f>
        <v>29.9</v>
      </c>
      <c r="G42" s="55" t="n">
        <f aca="false">'Product &amp; Offers'!$C$14*F42</f>
        <v>29.9</v>
      </c>
      <c r="H42" s="55" t="n">
        <f aca="false">IF(AND(ISNUMBER(Countries!$E$19),G42&gt;=Countries!$E$19),0,N(Countries!$D$19))</f>
        <v>4.99</v>
      </c>
      <c r="I42" s="55" t="n">
        <f aca="false">G42+H42</f>
        <v>34.89</v>
      </c>
      <c r="J42" s="56" t="n">
        <f aca="false">IF(VAT_On_Sales="Yes",IFERROR(INDEX(VAT_Rate,MATCH(A42,VAT_Country,0)),0),0)</f>
        <v>0.21</v>
      </c>
      <c r="K42" s="55" t="n">
        <f aca="false">I42-I42/(1+J42)</f>
        <v>6.05528925619835</v>
      </c>
      <c r="L42" s="55" t="n">
        <f aca="false">I42-K42</f>
        <v>28.8347107438017</v>
      </c>
      <c r="M42" s="55" t="n">
        <f aca="false">E42*P_Landed</f>
        <v>5.38</v>
      </c>
      <c r="N42" s="57" t="n">
        <f aca="false">E42*P_Weight+P_PackW</f>
        <v>0.3</v>
      </c>
      <c r="O42" s="54" t="n">
        <f aca="false">IFERROR(MATCH(1,INDEX((Dest_Country=A42)*(Dest_Courier=D42),0),0),0)</f>
        <v>26</v>
      </c>
      <c r="P42" s="55" t="n">
        <f aca="false">IF(O42=0,0,IFERROR(INDEX(Rate_Table,O42,COUNTIF(Rate_Weights,"&lt;"&amp;N42)+1),0))</f>
        <v>7.725</v>
      </c>
      <c r="Q42" s="55" t="n">
        <f aca="false">IF(P42&gt;0,P42*(1+INDEX(Dest_Fuel,O42))+INDEX(Dest_SMS,O42),0)</f>
        <v>7.725</v>
      </c>
      <c r="R42" s="55" t="n">
        <f aca="false">IF(E42&gt;0,FF_Base+FF_Extra_Item*MAX(0,E42-2)+FF_Extra_5kg*ROUNDUP(MAX(0,N42-5)/5,0),0)</f>
        <v>0.65</v>
      </c>
      <c r="S42" s="55" t="n">
        <f aca="false">'Product &amp; Offers'!$E$14</f>
        <v>0.08</v>
      </c>
      <c r="T42" s="55" t="n">
        <f aca="false">I42*Stripe_Pct+Stripe_Fixed</f>
        <v>2.14406</v>
      </c>
      <c r="U42" s="55" t="n">
        <f aca="false">(Q42+R42+S42)*(FF_VAT_Mult-1)</f>
        <v>1.691</v>
      </c>
      <c r="V42" s="55" t="n">
        <f aca="false">N(Countries!$F$19)</f>
        <v>15</v>
      </c>
      <c r="W42" s="55" t="n">
        <f aca="false">Fixed_Per_Order</f>
        <v>1.5844</v>
      </c>
      <c r="X42" s="56" t="n">
        <f aca="false">N(Countries!$G$19)</f>
        <v>0.03</v>
      </c>
      <c r="Y42" s="55" t="n">
        <f aca="false">X42*(L42-M42*P_Resell+(IF(Card_Ret_Label="Yes",Q42,0)+FF_Reverse)*FF_VAT_Mult)</f>
        <v>0.75932132231405</v>
      </c>
      <c r="Z42" s="55" t="n">
        <f aca="false">M42+Q42+R42+S42+T42+U42+V42+W42+Y42</f>
        <v>35.0137813223141</v>
      </c>
      <c r="AA42" s="53" t="str">
        <f aca="false">IF(E42=0,"",IF(NOT(ISNUMBER(Countries!$C$19)),"enter price",IF(O42=0,"pick courier",IF(P42=0,"too heavy","OK"))))</f>
        <v>OK</v>
      </c>
      <c r="AB42" s="55" t="n">
        <f aca="false">IF(AA42="OK",L42-Z42,"")</f>
        <v>-6.1790705785124</v>
      </c>
      <c r="AC42" s="56" t="n">
        <f aca="false">IF(ISNUMBER(AB42),IF(L42&gt;0,AB42/L42,0),"")</f>
        <v>-0.214292788764689</v>
      </c>
      <c r="AD42" s="55" t="n">
        <f aca="false">IF(ISNUMBER(AB42),AB42+V42,"")</f>
        <v>8.8209294214876</v>
      </c>
      <c r="AE42" s="58" t="n">
        <f aca="false">IF(ISNUMBER(AD42),IF(AD42&gt;0,I42/AD42,"never"),"")</f>
        <v>3.95536551001175</v>
      </c>
    </row>
    <row r="43" customFormat="false" ht="15" hidden="false" customHeight="false" outlineLevel="0" collapsed="false">
      <c r="A43" s="53" t="str">
        <f aca="false">Countries!$A$19</f>
        <v>Lithuania</v>
      </c>
      <c r="B43" s="54" t="n">
        <v>2</v>
      </c>
      <c r="C43" s="53" t="str">
        <f aca="false">'Product &amp; Offers'!$B$15</f>
        <v>Buy 2 Get 1 Free</v>
      </c>
      <c r="D43" s="53" t="str">
        <f aca="false">Countries!$B$19</f>
        <v>Venipak</v>
      </c>
      <c r="E43" s="54" t="n">
        <f aca="false">'Product &amp; Offers'!$C$15+'Product &amp; Offers'!$D$15</f>
        <v>3</v>
      </c>
      <c r="F43" s="55" t="n">
        <f aca="false">N(Countries!$C$19)</f>
        <v>29.9</v>
      </c>
      <c r="G43" s="55" t="n">
        <f aca="false">'Product &amp; Offers'!$C$15*F43</f>
        <v>59.8</v>
      </c>
      <c r="H43" s="55" t="n">
        <f aca="false">IF(AND(ISNUMBER(Countries!$E$19),G43&gt;=Countries!$E$19),0,N(Countries!$D$19))</f>
        <v>0</v>
      </c>
      <c r="I43" s="55" t="n">
        <f aca="false">G43+H43</f>
        <v>59.8</v>
      </c>
      <c r="J43" s="56" t="n">
        <f aca="false">IF(VAT_On_Sales="Yes",IFERROR(INDEX(VAT_Rate,MATCH(A43,VAT_Country,0)),0),0)</f>
        <v>0.21</v>
      </c>
      <c r="K43" s="55" t="n">
        <f aca="false">I43-I43/(1+J43)</f>
        <v>10.3785123966942</v>
      </c>
      <c r="L43" s="55" t="n">
        <f aca="false">I43-K43</f>
        <v>49.4214876033058</v>
      </c>
      <c r="M43" s="55" t="n">
        <f aca="false">E43*P_Landed</f>
        <v>16.14</v>
      </c>
      <c r="N43" s="57" t="n">
        <f aca="false">E43*P_Weight+P_PackW</f>
        <v>0.8</v>
      </c>
      <c r="O43" s="54" t="n">
        <f aca="false">IFERROR(MATCH(1,INDEX((Dest_Country=A43)*(Dest_Courier=D43),0),0),0)</f>
        <v>26</v>
      </c>
      <c r="P43" s="55" t="n">
        <f aca="false">IF(O43=0,0,IFERROR(INDEX(Rate_Table,O43,COUNTIF(Rate_Weights,"&lt;"&amp;N43)+1),0))</f>
        <v>7.725</v>
      </c>
      <c r="Q43" s="55" t="n">
        <f aca="false">IF(P43&gt;0,P43*(1+INDEX(Dest_Fuel,O43))+INDEX(Dest_SMS,O43),0)</f>
        <v>7.725</v>
      </c>
      <c r="R43" s="55" t="n">
        <f aca="false">IF(E43&gt;0,FF_Base+FF_Extra_Item*MAX(0,E43-2)+FF_Extra_5kg*ROUNDUP(MAX(0,N43-5)/5,0),0)</f>
        <v>1</v>
      </c>
      <c r="S43" s="55" t="n">
        <f aca="false">'Product &amp; Offers'!$E$15</f>
        <v>0.13</v>
      </c>
      <c r="T43" s="55" t="n">
        <f aca="false">I43*Stripe_Pct+Stripe_Fixed</f>
        <v>3.4892</v>
      </c>
      <c r="U43" s="55" t="n">
        <f aca="false">(Q43+R43+S43)*(FF_VAT_Mult-1)</f>
        <v>1.771</v>
      </c>
      <c r="V43" s="55" t="n">
        <f aca="false">N(Countries!$F$19)</f>
        <v>15</v>
      </c>
      <c r="W43" s="55" t="n">
        <f aca="false">Fixed_Per_Order</f>
        <v>1.5844</v>
      </c>
      <c r="X43" s="56" t="n">
        <f aca="false">N(Countries!$G$19)</f>
        <v>0.03</v>
      </c>
      <c r="Y43" s="55" t="n">
        <f aca="false">X43*(L43-M43*P_Resell+(IF(Card_Ret_Label="Yes",Q43,0)+FF_Reverse)*FF_VAT_Mult)</f>
        <v>1.11868462809917</v>
      </c>
      <c r="Z43" s="55" t="n">
        <f aca="false">M43+Q43+R43+S43+T43+U43+V43+W43+Y43</f>
        <v>47.9582846280992</v>
      </c>
      <c r="AA43" s="53" t="str">
        <f aca="false">IF(E43=0,"",IF(NOT(ISNUMBER(Countries!$C$19)),"enter price",IF(O43=0,"pick courier",IF(P43=0,"too heavy","OK"))))</f>
        <v>OK</v>
      </c>
      <c r="AB43" s="55" t="n">
        <f aca="false">IF(AA43="OK",L43-Z43,"")</f>
        <v>1.46320297520661</v>
      </c>
      <c r="AC43" s="56" t="n">
        <f aca="false">IF(ISNUMBER(AB43),IF(L43&gt;0,AB43/L43,0),"")</f>
        <v>0.0296066153846153</v>
      </c>
      <c r="AD43" s="55" t="n">
        <f aca="false">IF(ISNUMBER(AB43),AB43+V43,"")</f>
        <v>16.4632029752066</v>
      </c>
      <c r="AE43" s="58" t="n">
        <f aca="false">IF(ISNUMBER(AD43),IF(AD43&gt;0,I43/AD43,"never"),"")</f>
        <v>3.63234299486304</v>
      </c>
    </row>
    <row r="44" customFormat="false" ht="15" hidden="false" customHeight="false" outlineLevel="0" collapsed="false">
      <c r="A44" s="53" t="str">
        <f aca="false">Countries!$A$19</f>
        <v>Lithuania</v>
      </c>
      <c r="B44" s="54" t="n">
        <v>3</v>
      </c>
      <c r="C44" s="53" t="str">
        <f aca="false">'Product &amp; Offers'!$B$16</f>
        <v>Buy 1 Get 1 Free</v>
      </c>
      <c r="D44" s="53" t="str">
        <f aca="false">Countries!$B$19</f>
        <v>Venipak</v>
      </c>
      <c r="E44" s="54" t="n">
        <f aca="false">'Product &amp; Offers'!$C$16+'Product &amp; Offers'!$D$16</f>
        <v>2</v>
      </c>
      <c r="F44" s="55" t="n">
        <f aca="false">N(Countries!$C$19)</f>
        <v>29.9</v>
      </c>
      <c r="G44" s="55" t="n">
        <f aca="false">'Product &amp; Offers'!$C$16*F44</f>
        <v>29.9</v>
      </c>
      <c r="H44" s="55" t="n">
        <f aca="false">IF(AND(ISNUMBER(Countries!$E$19),G44&gt;=Countries!$E$19),0,N(Countries!$D$19))</f>
        <v>4.99</v>
      </c>
      <c r="I44" s="55" t="n">
        <f aca="false">G44+H44</f>
        <v>34.89</v>
      </c>
      <c r="J44" s="56" t="n">
        <f aca="false">IF(VAT_On_Sales="Yes",IFERROR(INDEX(VAT_Rate,MATCH(A44,VAT_Country,0)),0),0)</f>
        <v>0.21</v>
      </c>
      <c r="K44" s="55" t="n">
        <f aca="false">I44-I44/(1+J44)</f>
        <v>6.05528925619835</v>
      </c>
      <c r="L44" s="55" t="n">
        <f aca="false">I44-K44</f>
        <v>28.8347107438017</v>
      </c>
      <c r="M44" s="55" t="n">
        <f aca="false">E44*P_Landed</f>
        <v>10.76</v>
      </c>
      <c r="N44" s="57" t="n">
        <f aca="false">E44*P_Weight+P_PackW</f>
        <v>0.55</v>
      </c>
      <c r="O44" s="54" t="n">
        <f aca="false">IFERROR(MATCH(1,INDEX((Dest_Country=A44)*(Dest_Courier=D44),0),0),0)</f>
        <v>26</v>
      </c>
      <c r="P44" s="55" t="n">
        <f aca="false">IF(O44=0,0,IFERROR(INDEX(Rate_Table,O44,COUNTIF(Rate_Weights,"&lt;"&amp;N44)+1),0))</f>
        <v>7.725</v>
      </c>
      <c r="Q44" s="55" t="n">
        <f aca="false">IF(P44&gt;0,P44*(1+INDEX(Dest_Fuel,O44))+INDEX(Dest_SMS,O44),0)</f>
        <v>7.725</v>
      </c>
      <c r="R44" s="55" t="n">
        <f aca="false">IF(E44&gt;0,FF_Base+FF_Extra_Item*MAX(0,E44-2)+FF_Extra_5kg*ROUNDUP(MAX(0,N44-5)/5,0),0)</f>
        <v>0.65</v>
      </c>
      <c r="S44" s="55" t="n">
        <f aca="false">'Product &amp; Offers'!$E$16</f>
        <v>0.08</v>
      </c>
      <c r="T44" s="55" t="n">
        <f aca="false">I44*Stripe_Pct+Stripe_Fixed</f>
        <v>2.14406</v>
      </c>
      <c r="U44" s="55" t="n">
        <f aca="false">(Q44+R44+S44)*(FF_VAT_Mult-1)</f>
        <v>1.691</v>
      </c>
      <c r="V44" s="55" t="n">
        <f aca="false">N(Countries!$F$19)</f>
        <v>15</v>
      </c>
      <c r="W44" s="55" t="n">
        <f aca="false">Fixed_Per_Order</f>
        <v>1.5844</v>
      </c>
      <c r="X44" s="56" t="n">
        <f aca="false">N(Countries!$G$19)</f>
        <v>0.03</v>
      </c>
      <c r="Y44" s="55" t="n">
        <f aca="false">X44*(L44-M44*P_Resell+(IF(Card_Ret_Label="Yes",Q44,0)+FF_Reverse)*FF_VAT_Mult)</f>
        <v>0.63020132231405</v>
      </c>
      <c r="Z44" s="55" t="n">
        <f aca="false">M44+Q44+R44+S44+T44+U44+V44+W44+Y44</f>
        <v>40.2646613223141</v>
      </c>
      <c r="AA44" s="53" t="str">
        <f aca="false">IF(E44=0,"",IF(NOT(ISNUMBER(Countries!$C$19)),"enter price",IF(O44=0,"pick courier",IF(P44=0,"too heavy","OK"))))</f>
        <v>OK</v>
      </c>
      <c r="AB44" s="55" t="n">
        <f aca="false">IF(AA44="OK",L44-Z44,"")</f>
        <v>-11.4299505785124</v>
      </c>
      <c r="AC44" s="56" t="n">
        <f aca="false">IF(ISNUMBER(AB44),IF(L44&gt;0,AB44/L44,0),"")</f>
        <v>-0.396395534537117</v>
      </c>
      <c r="AD44" s="55" t="n">
        <f aca="false">IF(ISNUMBER(AB44),AB44+V44,"")</f>
        <v>3.57004942148761</v>
      </c>
      <c r="AE44" s="58" t="n">
        <f aca="false">IF(ISNUMBER(AD44),IF(AD44&gt;0,I44/AD44,"never"),"")</f>
        <v>9.77297395100532</v>
      </c>
    </row>
    <row r="45" customFormat="false" ht="15" hidden="false" customHeight="false" outlineLevel="0" collapsed="false">
      <c r="A45" s="53" t="str">
        <f aca="false">Countries!$A$20</f>
        <v>Latvia</v>
      </c>
      <c r="B45" s="54" t="n">
        <v>1</v>
      </c>
      <c r="C45" s="53" t="str">
        <f aca="false">'Product &amp; Offers'!$B$14</f>
        <v>Buy 1</v>
      </c>
      <c r="D45" s="53" t="str">
        <f aca="false">Countries!$B$20</f>
        <v>Venipak</v>
      </c>
      <c r="E45" s="54" t="n">
        <f aca="false">'Product &amp; Offers'!$C$14+'Product &amp; Offers'!$D$14</f>
        <v>1</v>
      </c>
      <c r="F45" s="55" t="n">
        <f aca="false">N(Countries!$C$20)</f>
        <v>29.9</v>
      </c>
      <c r="G45" s="55" t="n">
        <f aca="false">'Product &amp; Offers'!$C$14*F45</f>
        <v>29.9</v>
      </c>
      <c r="H45" s="55" t="n">
        <f aca="false">IF(AND(ISNUMBER(Countries!$E$20),G45&gt;=Countries!$E$20),0,N(Countries!$D$20))</f>
        <v>4.99</v>
      </c>
      <c r="I45" s="55" t="n">
        <f aca="false">G45+H45</f>
        <v>34.89</v>
      </c>
      <c r="J45" s="56" t="n">
        <f aca="false">IF(VAT_On_Sales="Yes",IFERROR(INDEX(VAT_Rate,MATCH(A45,VAT_Country,0)),0),0)</f>
        <v>0.21</v>
      </c>
      <c r="K45" s="55" t="n">
        <f aca="false">I45-I45/(1+J45)</f>
        <v>6.05528925619835</v>
      </c>
      <c r="L45" s="55" t="n">
        <f aca="false">I45-K45</f>
        <v>28.8347107438017</v>
      </c>
      <c r="M45" s="55" t="n">
        <f aca="false">E45*P_Landed</f>
        <v>5.38</v>
      </c>
      <c r="N45" s="57" t="n">
        <f aca="false">E45*P_Weight+P_PackW</f>
        <v>0.3</v>
      </c>
      <c r="O45" s="54" t="n">
        <f aca="false">IFERROR(MATCH(1,INDEX((Dest_Country=A45)*(Dest_Courier=D45),0),0),0)</f>
        <v>27</v>
      </c>
      <c r="P45" s="55" t="n">
        <f aca="false">IF(O45=0,0,IFERROR(INDEX(Rate_Table,O45,COUNTIF(Rate_Weights,"&lt;"&amp;N45)+1),0))</f>
        <v>8.1</v>
      </c>
      <c r="Q45" s="55" t="n">
        <f aca="false">IF(P45&gt;0,P45*(1+INDEX(Dest_Fuel,O45))+INDEX(Dest_SMS,O45),0)</f>
        <v>8.1</v>
      </c>
      <c r="R45" s="55" t="n">
        <f aca="false">IF(E45&gt;0,FF_Base+FF_Extra_Item*MAX(0,E45-2)+FF_Extra_5kg*ROUNDUP(MAX(0,N45-5)/5,0),0)</f>
        <v>0.65</v>
      </c>
      <c r="S45" s="55" t="n">
        <f aca="false">'Product &amp; Offers'!$E$14</f>
        <v>0.08</v>
      </c>
      <c r="T45" s="55" t="n">
        <f aca="false">I45*Stripe_Pct+Stripe_Fixed</f>
        <v>2.14406</v>
      </c>
      <c r="U45" s="55" t="n">
        <f aca="false">(Q45+R45+S45)*(FF_VAT_Mult-1)</f>
        <v>1.766</v>
      </c>
      <c r="V45" s="55" t="n">
        <f aca="false">N(Countries!$F$20)</f>
        <v>15</v>
      </c>
      <c r="W45" s="55" t="n">
        <f aca="false">Fixed_Per_Order</f>
        <v>1.5844</v>
      </c>
      <c r="X45" s="56" t="n">
        <f aca="false">N(Countries!$G$20)</f>
        <v>0.03</v>
      </c>
      <c r="Y45" s="55" t="n">
        <f aca="false">X45*(L45-M45*P_Resell+(IF(Card_Ret_Label="Yes",Q45,0)+FF_Reverse)*FF_VAT_Mult)</f>
        <v>0.75932132231405</v>
      </c>
      <c r="Z45" s="55" t="n">
        <f aca="false">M45+Q45+R45+S45+T45+U45+V45+W45+Y45</f>
        <v>35.4637813223141</v>
      </c>
      <c r="AA45" s="53" t="str">
        <f aca="false">IF(E45=0,"",IF(NOT(ISNUMBER(Countries!$C$20)),"enter price",IF(O45=0,"pick courier",IF(P45=0,"too heavy","OK"))))</f>
        <v>OK</v>
      </c>
      <c r="AB45" s="55" t="n">
        <f aca="false">IF(AA45="OK",L45-Z45,"")</f>
        <v>-6.62907057851239</v>
      </c>
      <c r="AC45" s="56" t="n">
        <f aca="false">IF(ISNUMBER(AB45),IF(L45&gt;0,AB45/L45,0),"")</f>
        <v>-0.22989897965033</v>
      </c>
      <c r="AD45" s="55" t="n">
        <f aca="false">IF(ISNUMBER(AB45),AB45+V45,"")</f>
        <v>8.37092942148761</v>
      </c>
      <c r="AE45" s="58" t="n">
        <f aca="false">IF(ISNUMBER(AD45),IF(AD45&gt;0,I45/AD45,"never"),"")</f>
        <v>4.16799595878084</v>
      </c>
    </row>
    <row r="46" customFormat="false" ht="15" hidden="false" customHeight="false" outlineLevel="0" collapsed="false">
      <c r="A46" s="53" t="str">
        <f aca="false">Countries!$A$20</f>
        <v>Latvia</v>
      </c>
      <c r="B46" s="54" t="n">
        <v>2</v>
      </c>
      <c r="C46" s="53" t="str">
        <f aca="false">'Product &amp; Offers'!$B$15</f>
        <v>Buy 2 Get 1 Free</v>
      </c>
      <c r="D46" s="53" t="str">
        <f aca="false">Countries!$B$20</f>
        <v>Venipak</v>
      </c>
      <c r="E46" s="54" t="n">
        <f aca="false">'Product &amp; Offers'!$C$15+'Product &amp; Offers'!$D$15</f>
        <v>3</v>
      </c>
      <c r="F46" s="55" t="n">
        <f aca="false">N(Countries!$C$20)</f>
        <v>29.9</v>
      </c>
      <c r="G46" s="55" t="n">
        <f aca="false">'Product &amp; Offers'!$C$15*F46</f>
        <v>59.8</v>
      </c>
      <c r="H46" s="55" t="n">
        <f aca="false">IF(AND(ISNUMBER(Countries!$E$20),G46&gt;=Countries!$E$20),0,N(Countries!$D$20))</f>
        <v>0</v>
      </c>
      <c r="I46" s="55" t="n">
        <f aca="false">G46+H46</f>
        <v>59.8</v>
      </c>
      <c r="J46" s="56" t="n">
        <f aca="false">IF(VAT_On_Sales="Yes",IFERROR(INDEX(VAT_Rate,MATCH(A46,VAT_Country,0)),0),0)</f>
        <v>0.21</v>
      </c>
      <c r="K46" s="55" t="n">
        <f aca="false">I46-I46/(1+J46)</f>
        <v>10.3785123966942</v>
      </c>
      <c r="L46" s="55" t="n">
        <f aca="false">I46-K46</f>
        <v>49.4214876033058</v>
      </c>
      <c r="M46" s="55" t="n">
        <f aca="false">E46*P_Landed</f>
        <v>16.14</v>
      </c>
      <c r="N46" s="57" t="n">
        <f aca="false">E46*P_Weight+P_PackW</f>
        <v>0.8</v>
      </c>
      <c r="O46" s="54" t="n">
        <f aca="false">IFERROR(MATCH(1,INDEX((Dest_Country=A46)*(Dest_Courier=D46),0),0),0)</f>
        <v>27</v>
      </c>
      <c r="P46" s="55" t="n">
        <f aca="false">IF(O46=0,0,IFERROR(INDEX(Rate_Table,O46,COUNTIF(Rate_Weights,"&lt;"&amp;N46)+1),0))</f>
        <v>8.1</v>
      </c>
      <c r="Q46" s="55" t="n">
        <f aca="false">IF(P46&gt;0,P46*(1+INDEX(Dest_Fuel,O46))+INDEX(Dest_SMS,O46),0)</f>
        <v>8.1</v>
      </c>
      <c r="R46" s="55" t="n">
        <f aca="false">IF(E46&gt;0,FF_Base+FF_Extra_Item*MAX(0,E46-2)+FF_Extra_5kg*ROUNDUP(MAX(0,N46-5)/5,0),0)</f>
        <v>1</v>
      </c>
      <c r="S46" s="55" t="n">
        <f aca="false">'Product &amp; Offers'!$E$15</f>
        <v>0.13</v>
      </c>
      <c r="T46" s="55" t="n">
        <f aca="false">I46*Stripe_Pct+Stripe_Fixed</f>
        <v>3.4892</v>
      </c>
      <c r="U46" s="55" t="n">
        <f aca="false">(Q46+R46+S46)*(FF_VAT_Mult-1)</f>
        <v>1.846</v>
      </c>
      <c r="V46" s="55" t="n">
        <f aca="false">N(Countries!$F$20)</f>
        <v>15</v>
      </c>
      <c r="W46" s="55" t="n">
        <f aca="false">Fixed_Per_Order</f>
        <v>1.5844</v>
      </c>
      <c r="X46" s="56" t="n">
        <f aca="false">N(Countries!$G$20)</f>
        <v>0.03</v>
      </c>
      <c r="Y46" s="55" t="n">
        <f aca="false">X46*(L46-M46*P_Resell+(IF(Card_Ret_Label="Yes",Q46,0)+FF_Reverse)*FF_VAT_Mult)</f>
        <v>1.11868462809917</v>
      </c>
      <c r="Z46" s="55" t="n">
        <f aca="false">M46+Q46+R46+S46+T46+U46+V46+W46+Y46</f>
        <v>48.4082846280992</v>
      </c>
      <c r="AA46" s="53" t="str">
        <f aca="false">IF(E46=0,"",IF(NOT(ISNUMBER(Countries!$C$20)),"enter price",IF(O46=0,"pick courier",IF(P46=0,"too heavy","OK"))))</f>
        <v>OK</v>
      </c>
      <c r="AB46" s="55" t="n">
        <f aca="false">IF(AA46="OK",L46-Z46,"")</f>
        <v>1.0132029752066</v>
      </c>
      <c r="AC46" s="56" t="n">
        <f aca="false">IF(ISNUMBER(AB46),IF(L46&gt;0,AB46/L46,0),"")</f>
        <v>0.0205012642140467</v>
      </c>
      <c r="AD46" s="55" t="n">
        <f aca="false">IF(ISNUMBER(AB46),AB46+V46,"")</f>
        <v>16.0132029752066</v>
      </c>
      <c r="AE46" s="58" t="n">
        <f aca="false">IF(ISNUMBER(AD46),IF(AD46&gt;0,I46/AD46,"never"),"")</f>
        <v>3.73441841039478</v>
      </c>
    </row>
    <row r="47" customFormat="false" ht="15" hidden="false" customHeight="false" outlineLevel="0" collapsed="false">
      <c r="A47" s="53" t="str">
        <f aca="false">Countries!$A$20</f>
        <v>Latvia</v>
      </c>
      <c r="B47" s="54" t="n">
        <v>3</v>
      </c>
      <c r="C47" s="53" t="str">
        <f aca="false">'Product &amp; Offers'!$B$16</f>
        <v>Buy 1 Get 1 Free</v>
      </c>
      <c r="D47" s="53" t="str">
        <f aca="false">Countries!$B$20</f>
        <v>Venipak</v>
      </c>
      <c r="E47" s="54" t="n">
        <f aca="false">'Product &amp; Offers'!$C$16+'Product &amp; Offers'!$D$16</f>
        <v>2</v>
      </c>
      <c r="F47" s="55" t="n">
        <f aca="false">N(Countries!$C$20)</f>
        <v>29.9</v>
      </c>
      <c r="G47" s="55" t="n">
        <f aca="false">'Product &amp; Offers'!$C$16*F47</f>
        <v>29.9</v>
      </c>
      <c r="H47" s="55" t="n">
        <f aca="false">IF(AND(ISNUMBER(Countries!$E$20),G47&gt;=Countries!$E$20),0,N(Countries!$D$20))</f>
        <v>4.99</v>
      </c>
      <c r="I47" s="55" t="n">
        <f aca="false">G47+H47</f>
        <v>34.89</v>
      </c>
      <c r="J47" s="56" t="n">
        <f aca="false">IF(VAT_On_Sales="Yes",IFERROR(INDEX(VAT_Rate,MATCH(A47,VAT_Country,0)),0),0)</f>
        <v>0.21</v>
      </c>
      <c r="K47" s="55" t="n">
        <f aca="false">I47-I47/(1+J47)</f>
        <v>6.05528925619835</v>
      </c>
      <c r="L47" s="55" t="n">
        <f aca="false">I47-K47</f>
        <v>28.8347107438017</v>
      </c>
      <c r="M47" s="55" t="n">
        <f aca="false">E47*P_Landed</f>
        <v>10.76</v>
      </c>
      <c r="N47" s="57" t="n">
        <f aca="false">E47*P_Weight+P_PackW</f>
        <v>0.55</v>
      </c>
      <c r="O47" s="54" t="n">
        <f aca="false">IFERROR(MATCH(1,INDEX((Dest_Country=A47)*(Dest_Courier=D47),0),0),0)</f>
        <v>27</v>
      </c>
      <c r="P47" s="55" t="n">
        <f aca="false">IF(O47=0,0,IFERROR(INDEX(Rate_Table,O47,COUNTIF(Rate_Weights,"&lt;"&amp;N47)+1),0))</f>
        <v>8.1</v>
      </c>
      <c r="Q47" s="55" t="n">
        <f aca="false">IF(P47&gt;0,P47*(1+INDEX(Dest_Fuel,O47))+INDEX(Dest_SMS,O47),0)</f>
        <v>8.1</v>
      </c>
      <c r="R47" s="55" t="n">
        <f aca="false">IF(E47&gt;0,FF_Base+FF_Extra_Item*MAX(0,E47-2)+FF_Extra_5kg*ROUNDUP(MAX(0,N47-5)/5,0),0)</f>
        <v>0.65</v>
      </c>
      <c r="S47" s="55" t="n">
        <f aca="false">'Product &amp; Offers'!$E$16</f>
        <v>0.08</v>
      </c>
      <c r="T47" s="55" t="n">
        <f aca="false">I47*Stripe_Pct+Stripe_Fixed</f>
        <v>2.14406</v>
      </c>
      <c r="U47" s="55" t="n">
        <f aca="false">(Q47+R47+S47)*(FF_VAT_Mult-1)</f>
        <v>1.766</v>
      </c>
      <c r="V47" s="55" t="n">
        <f aca="false">N(Countries!$F$20)</f>
        <v>15</v>
      </c>
      <c r="W47" s="55" t="n">
        <f aca="false">Fixed_Per_Order</f>
        <v>1.5844</v>
      </c>
      <c r="X47" s="56" t="n">
        <f aca="false">N(Countries!$G$20)</f>
        <v>0.03</v>
      </c>
      <c r="Y47" s="55" t="n">
        <f aca="false">X47*(L47-M47*P_Resell+(IF(Card_Ret_Label="Yes",Q47,0)+FF_Reverse)*FF_VAT_Mult)</f>
        <v>0.63020132231405</v>
      </c>
      <c r="Z47" s="55" t="n">
        <f aca="false">M47+Q47+R47+S47+T47+U47+V47+W47+Y47</f>
        <v>40.714661322314</v>
      </c>
      <c r="AA47" s="53" t="str">
        <f aca="false">IF(E47=0,"",IF(NOT(ISNUMBER(Countries!$C$20)),"enter price",IF(O47=0,"pick courier",IF(P47=0,"too heavy","OK"))))</f>
        <v>OK</v>
      </c>
      <c r="AB47" s="55" t="n">
        <f aca="false">IF(AA47="OK",L47-Z47,"")</f>
        <v>-11.8799505785124</v>
      </c>
      <c r="AC47" s="56" t="n">
        <f aca="false">IF(ISNUMBER(AB47),IF(L47&gt;0,AB47/L47,0),"")</f>
        <v>-0.412001725422757</v>
      </c>
      <c r="AD47" s="55" t="n">
        <f aca="false">IF(ISNUMBER(AB47),AB47+V47,"")</f>
        <v>3.12004942148761</v>
      </c>
      <c r="AE47" s="58" t="n">
        <f aca="false">IF(ISNUMBER(AD47),IF(AD47&gt;0,I47/AD47,"never"),"")</f>
        <v>11.1825151741875</v>
      </c>
    </row>
    <row r="48" customFormat="false" ht="15" hidden="false" customHeight="false" outlineLevel="0" collapsed="false">
      <c r="A48" s="53" t="str">
        <f aca="false">Countries!$A$21</f>
        <v>Estonia</v>
      </c>
      <c r="B48" s="54" t="n">
        <v>1</v>
      </c>
      <c r="C48" s="53" t="str">
        <f aca="false">'Product &amp; Offers'!$B$14</f>
        <v>Buy 1</v>
      </c>
      <c r="D48" s="53" t="str">
        <f aca="false">Countries!$B$21</f>
        <v>Venipak</v>
      </c>
      <c r="E48" s="54" t="n">
        <f aca="false">'Product &amp; Offers'!$C$14+'Product &amp; Offers'!$D$14</f>
        <v>1</v>
      </c>
      <c r="F48" s="55" t="n">
        <f aca="false">N(Countries!$C$21)</f>
        <v>29.9</v>
      </c>
      <c r="G48" s="55" t="n">
        <f aca="false">'Product &amp; Offers'!$C$14*F48</f>
        <v>29.9</v>
      </c>
      <c r="H48" s="55" t="n">
        <f aca="false">IF(AND(ISNUMBER(Countries!$E$21),G48&gt;=Countries!$E$21),0,N(Countries!$D$21))</f>
        <v>4.99</v>
      </c>
      <c r="I48" s="55" t="n">
        <f aca="false">G48+H48</f>
        <v>34.89</v>
      </c>
      <c r="J48" s="56" t="n">
        <f aca="false">IF(VAT_On_Sales="Yes",IFERROR(INDEX(VAT_Rate,MATCH(A48,VAT_Country,0)),0),0)</f>
        <v>0.24</v>
      </c>
      <c r="K48" s="55" t="n">
        <f aca="false">I48-I48/(1+J48)</f>
        <v>6.75290322580645</v>
      </c>
      <c r="L48" s="55" t="n">
        <f aca="false">I48-K48</f>
        <v>28.1370967741935</v>
      </c>
      <c r="M48" s="55" t="n">
        <f aca="false">E48*P_Landed</f>
        <v>5.38</v>
      </c>
      <c r="N48" s="57" t="n">
        <f aca="false">E48*P_Weight+P_PackW</f>
        <v>0.3</v>
      </c>
      <c r="O48" s="54" t="n">
        <f aca="false">IFERROR(MATCH(1,INDEX((Dest_Country=A48)*(Dest_Courier=D48),0),0),0)</f>
        <v>28</v>
      </c>
      <c r="P48" s="55" t="n">
        <f aca="false">IF(O48=0,0,IFERROR(INDEX(Rate_Table,O48,COUNTIF(Rate_Weights,"&lt;"&amp;N48)+1),0))</f>
        <v>9.85</v>
      </c>
      <c r="Q48" s="55" t="n">
        <f aca="false">IF(P48&gt;0,P48*(1+INDEX(Dest_Fuel,O48))+INDEX(Dest_SMS,O48),0)</f>
        <v>9.85</v>
      </c>
      <c r="R48" s="55" t="n">
        <f aca="false">IF(E48&gt;0,FF_Base+FF_Extra_Item*MAX(0,E48-2)+FF_Extra_5kg*ROUNDUP(MAX(0,N48-5)/5,0),0)</f>
        <v>0.65</v>
      </c>
      <c r="S48" s="55" t="n">
        <f aca="false">'Product &amp; Offers'!$E$14</f>
        <v>0.08</v>
      </c>
      <c r="T48" s="55" t="n">
        <f aca="false">I48*Stripe_Pct+Stripe_Fixed</f>
        <v>2.14406</v>
      </c>
      <c r="U48" s="55" t="n">
        <f aca="false">(Q48+R48+S48)*(FF_VAT_Mult-1)</f>
        <v>2.116</v>
      </c>
      <c r="V48" s="55" t="n">
        <f aca="false">N(Countries!$F$21)</f>
        <v>15</v>
      </c>
      <c r="W48" s="55" t="n">
        <f aca="false">Fixed_Per_Order</f>
        <v>1.5844</v>
      </c>
      <c r="X48" s="56" t="n">
        <f aca="false">N(Countries!$G$21)</f>
        <v>0.03</v>
      </c>
      <c r="Y48" s="55" t="n">
        <f aca="false">X48*(L48-M48*P_Resell+(IF(Card_Ret_Label="Yes",Q48,0)+FF_Reverse)*FF_VAT_Mult)</f>
        <v>0.738392903225807</v>
      </c>
      <c r="Z48" s="55" t="n">
        <f aca="false">M48+Q48+R48+S48+T48+U48+V48+W48+Y48</f>
        <v>37.5428529032258</v>
      </c>
      <c r="AA48" s="53" t="str">
        <f aca="false">IF(E48=0,"",IF(NOT(ISNUMBER(Countries!$C$21)),"enter price",IF(O48=0,"pick courier",IF(P48=0,"too heavy","OK"))))</f>
        <v>OK</v>
      </c>
      <c r="AB48" s="55" t="n">
        <f aca="false">IF(AA48="OK",L48-Z48,"")</f>
        <v>-9.40575612903226</v>
      </c>
      <c r="AC48" s="56" t="n">
        <f aca="false">IF(ISNUMBER(AB48),IF(L48&gt;0,AB48/L48,0),"")</f>
        <v>-0.334283106907423</v>
      </c>
      <c r="AD48" s="55" t="n">
        <f aca="false">IF(ISNUMBER(AB48),AB48+V48,"")</f>
        <v>5.59424387096774</v>
      </c>
      <c r="AE48" s="58" t="n">
        <f aca="false">IF(ISNUMBER(AD48),IF(AD48&gt;0,I48/AD48,"never"),"")</f>
        <v>6.23676779288573</v>
      </c>
    </row>
    <row r="49" customFormat="false" ht="15" hidden="false" customHeight="false" outlineLevel="0" collapsed="false">
      <c r="A49" s="53" t="str">
        <f aca="false">Countries!$A$21</f>
        <v>Estonia</v>
      </c>
      <c r="B49" s="54" t="n">
        <v>2</v>
      </c>
      <c r="C49" s="53" t="str">
        <f aca="false">'Product &amp; Offers'!$B$15</f>
        <v>Buy 2 Get 1 Free</v>
      </c>
      <c r="D49" s="53" t="str">
        <f aca="false">Countries!$B$21</f>
        <v>Venipak</v>
      </c>
      <c r="E49" s="54" t="n">
        <f aca="false">'Product &amp; Offers'!$C$15+'Product &amp; Offers'!$D$15</f>
        <v>3</v>
      </c>
      <c r="F49" s="55" t="n">
        <f aca="false">N(Countries!$C$21)</f>
        <v>29.9</v>
      </c>
      <c r="G49" s="55" t="n">
        <f aca="false">'Product &amp; Offers'!$C$15*F49</f>
        <v>59.8</v>
      </c>
      <c r="H49" s="55" t="n">
        <f aca="false">IF(AND(ISNUMBER(Countries!$E$21),G49&gt;=Countries!$E$21),0,N(Countries!$D$21))</f>
        <v>0</v>
      </c>
      <c r="I49" s="55" t="n">
        <f aca="false">G49+H49</f>
        <v>59.8</v>
      </c>
      <c r="J49" s="56" t="n">
        <f aca="false">IF(VAT_On_Sales="Yes",IFERROR(INDEX(VAT_Rate,MATCH(A49,VAT_Country,0)),0),0)</f>
        <v>0.24</v>
      </c>
      <c r="K49" s="55" t="n">
        <f aca="false">I49-I49/(1+J49)</f>
        <v>11.5741935483871</v>
      </c>
      <c r="L49" s="55" t="n">
        <f aca="false">I49-K49</f>
        <v>48.2258064516129</v>
      </c>
      <c r="M49" s="55" t="n">
        <f aca="false">E49*P_Landed</f>
        <v>16.14</v>
      </c>
      <c r="N49" s="57" t="n">
        <f aca="false">E49*P_Weight+P_PackW</f>
        <v>0.8</v>
      </c>
      <c r="O49" s="54" t="n">
        <f aca="false">IFERROR(MATCH(1,INDEX((Dest_Country=A49)*(Dest_Courier=D49),0),0),0)</f>
        <v>28</v>
      </c>
      <c r="P49" s="55" t="n">
        <f aca="false">IF(O49=0,0,IFERROR(INDEX(Rate_Table,O49,COUNTIF(Rate_Weights,"&lt;"&amp;N49)+1),0))</f>
        <v>9.85</v>
      </c>
      <c r="Q49" s="55" t="n">
        <f aca="false">IF(P49&gt;0,P49*(1+INDEX(Dest_Fuel,O49))+INDEX(Dest_SMS,O49),0)</f>
        <v>9.85</v>
      </c>
      <c r="R49" s="55" t="n">
        <f aca="false">IF(E49&gt;0,FF_Base+FF_Extra_Item*MAX(0,E49-2)+FF_Extra_5kg*ROUNDUP(MAX(0,N49-5)/5,0),0)</f>
        <v>1</v>
      </c>
      <c r="S49" s="55" t="n">
        <f aca="false">'Product &amp; Offers'!$E$15</f>
        <v>0.13</v>
      </c>
      <c r="T49" s="55" t="n">
        <f aca="false">I49*Stripe_Pct+Stripe_Fixed</f>
        <v>3.4892</v>
      </c>
      <c r="U49" s="55" t="n">
        <f aca="false">(Q49+R49+S49)*(FF_VAT_Mult-1)</f>
        <v>2.196</v>
      </c>
      <c r="V49" s="55" t="n">
        <f aca="false">N(Countries!$F$21)</f>
        <v>15</v>
      </c>
      <c r="W49" s="55" t="n">
        <f aca="false">Fixed_Per_Order</f>
        <v>1.5844</v>
      </c>
      <c r="X49" s="56" t="n">
        <f aca="false">N(Countries!$G$21)</f>
        <v>0.03</v>
      </c>
      <c r="Y49" s="55" t="n">
        <f aca="false">X49*(L49-M49*P_Resell+(IF(Card_Ret_Label="Yes",Q49,0)+FF_Reverse)*FF_VAT_Mult)</f>
        <v>1.08281419354839</v>
      </c>
      <c r="Z49" s="55" t="n">
        <f aca="false">M49+Q49+R49+S49+T49+U49+V49+W49+Y49</f>
        <v>50.4724141935484</v>
      </c>
      <c r="AA49" s="53" t="str">
        <f aca="false">IF(E49=0,"",IF(NOT(ISNUMBER(Countries!$C$21)),"enter price",IF(O49=0,"pick courier",IF(P49=0,"too heavy","OK"))))</f>
        <v>OK</v>
      </c>
      <c r="AB49" s="55" t="n">
        <f aca="false">IF(AA49="OK",L49-Z49,"")</f>
        <v>-2.24660774193548</v>
      </c>
      <c r="AC49" s="56" t="n">
        <f aca="false">IF(ISNUMBER(AB49),IF(L49&gt;0,AB49/L49,0),"")</f>
        <v>-0.0465851772575251</v>
      </c>
      <c r="AD49" s="55" t="n">
        <f aca="false">IF(ISNUMBER(AB49),AB49+V49,"")</f>
        <v>12.7533922580645</v>
      </c>
      <c r="AE49" s="58" t="n">
        <f aca="false">IF(ISNUMBER(AD49),IF(AD49&gt;0,I49/AD49,"never"),"")</f>
        <v>4.6889485393336</v>
      </c>
    </row>
    <row r="50" customFormat="false" ht="15" hidden="false" customHeight="false" outlineLevel="0" collapsed="false">
      <c r="A50" s="53" t="str">
        <f aca="false">Countries!$A$21</f>
        <v>Estonia</v>
      </c>
      <c r="B50" s="54" t="n">
        <v>3</v>
      </c>
      <c r="C50" s="53" t="str">
        <f aca="false">'Product &amp; Offers'!$B$16</f>
        <v>Buy 1 Get 1 Free</v>
      </c>
      <c r="D50" s="53" t="str">
        <f aca="false">Countries!$B$21</f>
        <v>Venipak</v>
      </c>
      <c r="E50" s="54" t="n">
        <f aca="false">'Product &amp; Offers'!$C$16+'Product &amp; Offers'!$D$16</f>
        <v>2</v>
      </c>
      <c r="F50" s="55" t="n">
        <f aca="false">N(Countries!$C$21)</f>
        <v>29.9</v>
      </c>
      <c r="G50" s="55" t="n">
        <f aca="false">'Product &amp; Offers'!$C$16*F50</f>
        <v>29.9</v>
      </c>
      <c r="H50" s="55" t="n">
        <f aca="false">IF(AND(ISNUMBER(Countries!$E$21),G50&gt;=Countries!$E$21),0,N(Countries!$D$21))</f>
        <v>4.99</v>
      </c>
      <c r="I50" s="55" t="n">
        <f aca="false">G50+H50</f>
        <v>34.89</v>
      </c>
      <c r="J50" s="56" t="n">
        <f aca="false">IF(VAT_On_Sales="Yes",IFERROR(INDEX(VAT_Rate,MATCH(A50,VAT_Country,0)),0),0)</f>
        <v>0.24</v>
      </c>
      <c r="K50" s="55" t="n">
        <f aca="false">I50-I50/(1+J50)</f>
        <v>6.75290322580645</v>
      </c>
      <c r="L50" s="55" t="n">
        <f aca="false">I50-K50</f>
        <v>28.1370967741935</v>
      </c>
      <c r="M50" s="55" t="n">
        <f aca="false">E50*P_Landed</f>
        <v>10.76</v>
      </c>
      <c r="N50" s="57" t="n">
        <f aca="false">E50*P_Weight+P_PackW</f>
        <v>0.55</v>
      </c>
      <c r="O50" s="54" t="n">
        <f aca="false">IFERROR(MATCH(1,INDEX((Dest_Country=A50)*(Dest_Courier=D50),0),0),0)</f>
        <v>28</v>
      </c>
      <c r="P50" s="55" t="n">
        <f aca="false">IF(O50=0,0,IFERROR(INDEX(Rate_Table,O50,COUNTIF(Rate_Weights,"&lt;"&amp;N50)+1),0))</f>
        <v>9.85</v>
      </c>
      <c r="Q50" s="55" t="n">
        <f aca="false">IF(P50&gt;0,P50*(1+INDEX(Dest_Fuel,O50))+INDEX(Dest_SMS,O50),0)</f>
        <v>9.85</v>
      </c>
      <c r="R50" s="55" t="n">
        <f aca="false">IF(E50&gt;0,FF_Base+FF_Extra_Item*MAX(0,E50-2)+FF_Extra_5kg*ROUNDUP(MAX(0,N50-5)/5,0),0)</f>
        <v>0.65</v>
      </c>
      <c r="S50" s="55" t="n">
        <f aca="false">'Product &amp; Offers'!$E$16</f>
        <v>0.08</v>
      </c>
      <c r="T50" s="55" t="n">
        <f aca="false">I50*Stripe_Pct+Stripe_Fixed</f>
        <v>2.14406</v>
      </c>
      <c r="U50" s="55" t="n">
        <f aca="false">(Q50+R50+S50)*(FF_VAT_Mult-1)</f>
        <v>2.116</v>
      </c>
      <c r="V50" s="55" t="n">
        <f aca="false">N(Countries!$F$21)</f>
        <v>15</v>
      </c>
      <c r="W50" s="55" t="n">
        <f aca="false">Fixed_Per_Order</f>
        <v>1.5844</v>
      </c>
      <c r="X50" s="56" t="n">
        <f aca="false">N(Countries!$G$21)</f>
        <v>0.03</v>
      </c>
      <c r="Y50" s="55" t="n">
        <f aca="false">X50*(L50-M50*P_Resell+(IF(Card_Ret_Label="Yes",Q50,0)+FF_Reverse)*FF_VAT_Mult)</f>
        <v>0.609272903225806</v>
      </c>
      <c r="Z50" s="55" t="n">
        <f aca="false">M50+Q50+R50+S50+T50+U50+V50+W50+Y50</f>
        <v>42.7937329032258</v>
      </c>
      <c r="AA50" s="53" t="str">
        <f aca="false">IF(E50=0,"",IF(NOT(ISNUMBER(Countries!$C$21)),"enter price",IF(O50=0,"pick courier",IF(P50=0,"too heavy","OK"))))</f>
        <v>OK</v>
      </c>
      <c r="AB50" s="55" t="n">
        <f aca="false">IF(AA50="OK",L50-Z50,"")</f>
        <v>-14.6566361290323</v>
      </c>
      <c r="AC50" s="56" t="n">
        <f aca="false">IF(ISNUMBER(AB50),IF(L50&gt;0,AB50/L50,0),"")</f>
        <v>-0.520900796789911</v>
      </c>
      <c r="AD50" s="55" t="n">
        <f aca="false">IF(ISNUMBER(AB50),AB50+V50,"")</f>
        <v>0.343363870967739</v>
      </c>
      <c r="AE50" s="58" t="n">
        <f aca="false">IF(ISNUMBER(AD50),IF(AD50&gt;0,I50/AD50,"never"),"")</f>
        <v>101.612321359454</v>
      </c>
    </row>
    <row r="51" customFormat="false" ht="15" hidden="false" customHeight="false" outlineLevel="0" collapsed="false">
      <c r="A51" s="53" t="str">
        <f aca="false">Countries!$A$22</f>
        <v>Belgium</v>
      </c>
      <c r="B51" s="54" t="n">
        <v>1</v>
      </c>
      <c r="C51" s="53" t="str">
        <f aca="false">'Product &amp; Offers'!$B$14</f>
        <v>Buy 1</v>
      </c>
      <c r="D51" s="53" t="str">
        <f aca="false">Countries!$B$22</f>
        <v>PostNL</v>
      </c>
      <c r="E51" s="54" t="n">
        <f aca="false">'Product &amp; Offers'!$C$14+'Product &amp; Offers'!$D$14</f>
        <v>1</v>
      </c>
      <c r="F51" s="55" t="n">
        <f aca="false">N(Countries!$C$22)</f>
        <v>29.9</v>
      </c>
      <c r="G51" s="55" t="n">
        <f aca="false">'Product &amp; Offers'!$C$14*F51</f>
        <v>29.9</v>
      </c>
      <c r="H51" s="55" t="n">
        <f aca="false">IF(AND(ISNUMBER(Countries!$E$22),G51&gt;=Countries!$E$22),0,N(Countries!$D$22))</f>
        <v>4.99</v>
      </c>
      <c r="I51" s="55" t="n">
        <f aca="false">G51+H51</f>
        <v>34.89</v>
      </c>
      <c r="J51" s="56" t="n">
        <f aca="false">IF(VAT_On_Sales="Yes",IFERROR(INDEX(VAT_Rate,MATCH(A51,VAT_Country,0)),0),0)</f>
        <v>0.21</v>
      </c>
      <c r="K51" s="55" t="n">
        <f aca="false">I51-I51/(1+J51)</f>
        <v>6.05528925619835</v>
      </c>
      <c r="L51" s="55" t="n">
        <f aca="false">I51-K51</f>
        <v>28.8347107438017</v>
      </c>
      <c r="M51" s="55" t="n">
        <f aca="false">E51*P_Landed</f>
        <v>5.38</v>
      </c>
      <c r="N51" s="57" t="n">
        <f aca="false">E51*P_Weight+P_PackW</f>
        <v>0.3</v>
      </c>
      <c r="O51" s="54" t="n">
        <f aca="false">IFERROR(MATCH(1,INDEX((Dest_Country=A51)*(Dest_Courier=D51),0),0),0)</f>
        <v>29</v>
      </c>
      <c r="P51" s="55" t="n">
        <f aca="false">IF(O51=0,0,IFERROR(INDEX(Rate_Table,O51,COUNTIF(Rate_Weights,"&lt;"&amp;N51)+1),0))</f>
        <v>7.9625</v>
      </c>
      <c r="Q51" s="55" t="n">
        <f aca="false">IF(P51&gt;0,P51*(1+INDEX(Dest_Fuel,O51))+INDEX(Dest_SMS,O51),0)</f>
        <v>7.9625</v>
      </c>
      <c r="R51" s="55" t="n">
        <f aca="false">IF(E51&gt;0,FF_Base+FF_Extra_Item*MAX(0,E51-2)+FF_Extra_5kg*ROUNDUP(MAX(0,N51-5)/5,0),0)</f>
        <v>0.65</v>
      </c>
      <c r="S51" s="55" t="n">
        <f aca="false">'Product &amp; Offers'!$E$14</f>
        <v>0.08</v>
      </c>
      <c r="T51" s="55" t="n">
        <f aca="false">I51*Stripe_Pct+Stripe_Fixed</f>
        <v>2.14406</v>
      </c>
      <c r="U51" s="55" t="n">
        <f aca="false">(Q51+R51+S51)*(FF_VAT_Mult-1)</f>
        <v>1.7385</v>
      </c>
      <c r="V51" s="55" t="n">
        <f aca="false">N(Countries!$F$22)</f>
        <v>15</v>
      </c>
      <c r="W51" s="55" t="n">
        <f aca="false">Fixed_Per_Order</f>
        <v>1.5844</v>
      </c>
      <c r="X51" s="56" t="n">
        <f aca="false">N(Countries!$G$22)</f>
        <v>0.03</v>
      </c>
      <c r="Y51" s="55" t="n">
        <f aca="false">X51*(L51-M51*P_Resell+(IF(Card_Ret_Label="Yes",Q51,0)+FF_Reverse)*FF_VAT_Mult)</f>
        <v>0.75932132231405</v>
      </c>
      <c r="Z51" s="55" t="n">
        <f aca="false">M51+Q51+R51+S51+T51+U51+V51+W51+Y51</f>
        <v>35.2987813223141</v>
      </c>
      <c r="AA51" s="53" t="str">
        <f aca="false">IF(E51=0,"",IF(NOT(ISNUMBER(Countries!$C$22)),"enter price",IF(O51=0,"pick courier",IF(P51=0,"too heavy","OK"))))</f>
        <v>OK</v>
      </c>
      <c r="AB51" s="55" t="n">
        <f aca="false">IF(AA51="OK",L51-Z51,"")</f>
        <v>-6.4640705785124</v>
      </c>
      <c r="AC51" s="56" t="n">
        <f aca="false">IF(ISNUMBER(AB51),IF(L51&gt;0,AB51/L51,0),"")</f>
        <v>-0.224176709658928</v>
      </c>
      <c r="AD51" s="55" t="n">
        <f aca="false">IF(ISNUMBER(AB51),AB51+V51,"")</f>
        <v>8.53592942148761</v>
      </c>
      <c r="AE51" s="58" t="n">
        <f aca="false">IF(ISNUMBER(AD51),IF(AD51&gt;0,I51/AD51,"never"),"")</f>
        <v>4.08742836042798</v>
      </c>
    </row>
    <row r="52" customFormat="false" ht="15" hidden="false" customHeight="false" outlineLevel="0" collapsed="false">
      <c r="A52" s="53" t="str">
        <f aca="false">Countries!$A$22</f>
        <v>Belgium</v>
      </c>
      <c r="B52" s="54" t="n">
        <v>2</v>
      </c>
      <c r="C52" s="53" t="str">
        <f aca="false">'Product &amp; Offers'!$B$15</f>
        <v>Buy 2 Get 1 Free</v>
      </c>
      <c r="D52" s="53" t="str">
        <f aca="false">Countries!$B$22</f>
        <v>PostNL</v>
      </c>
      <c r="E52" s="54" t="n">
        <f aca="false">'Product &amp; Offers'!$C$15+'Product &amp; Offers'!$D$15</f>
        <v>3</v>
      </c>
      <c r="F52" s="55" t="n">
        <f aca="false">N(Countries!$C$22)</f>
        <v>29.9</v>
      </c>
      <c r="G52" s="55" t="n">
        <f aca="false">'Product &amp; Offers'!$C$15*F52</f>
        <v>59.8</v>
      </c>
      <c r="H52" s="55" t="n">
        <f aca="false">IF(AND(ISNUMBER(Countries!$E$22),G52&gt;=Countries!$E$22),0,N(Countries!$D$22))</f>
        <v>0</v>
      </c>
      <c r="I52" s="55" t="n">
        <f aca="false">G52+H52</f>
        <v>59.8</v>
      </c>
      <c r="J52" s="56" t="n">
        <f aca="false">IF(VAT_On_Sales="Yes",IFERROR(INDEX(VAT_Rate,MATCH(A52,VAT_Country,0)),0),0)</f>
        <v>0.21</v>
      </c>
      <c r="K52" s="55" t="n">
        <f aca="false">I52-I52/(1+J52)</f>
        <v>10.3785123966942</v>
      </c>
      <c r="L52" s="55" t="n">
        <f aca="false">I52-K52</f>
        <v>49.4214876033058</v>
      </c>
      <c r="M52" s="55" t="n">
        <f aca="false">E52*P_Landed</f>
        <v>16.14</v>
      </c>
      <c r="N52" s="57" t="n">
        <f aca="false">E52*P_Weight+P_PackW</f>
        <v>0.8</v>
      </c>
      <c r="O52" s="54" t="n">
        <f aca="false">IFERROR(MATCH(1,INDEX((Dest_Country=A52)*(Dest_Courier=D52),0),0),0)</f>
        <v>29</v>
      </c>
      <c r="P52" s="55" t="n">
        <f aca="false">IF(O52=0,0,IFERROR(INDEX(Rate_Table,O52,COUNTIF(Rate_Weights,"&lt;"&amp;N52)+1),0))</f>
        <v>8.5</v>
      </c>
      <c r="Q52" s="55" t="n">
        <f aca="false">IF(P52&gt;0,P52*(1+INDEX(Dest_Fuel,O52))+INDEX(Dest_SMS,O52),0)</f>
        <v>8.5</v>
      </c>
      <c r="R52" s="55" t="n">
        <f aca="false">IF(E52&gt;0,FF_Base+FF_Extra_Item*MAX(0,E52-2)+FF_Extra_5kg*ROUNDUP(MAX(0,N52-5)/5,0),0)</f>
        <v>1</v>
      </c>
      <c r="S52" s="55" t="n">
        <f aca="false">'Product &amp; Offers'!$E$15</f>
        <v>0.13</v>
      </c>
      <c r="T52" s="55" t="n">
        <f aca="false">I52*Stripe_Pct+Stripe_Fixed</f>
        <v>3.4892</v>
      </c>
      <c r="U52" s="55" t="n">
        <f aca="false">(Q52+R52+S52)*(FF_VAT_Mult-1)</f>
        <v>1.926</v>
      </c>
      <c r="V52" s="55" t="n">
        <f aca="false">N(Countries!$F$22)</f>
        <v>15</v>
      </c>
      <c r="W52" s="55" t="n">
        <f aca="false">Fixed_Per_Order</f>
        <v>1.5844</v>
      </c>
      <c r="X52" s="56" t="n">
        <f aca="false">N(Countries!$G$22)</f>
        <v>0.03</v>
      </c>
      <c r="Y52" s="55" t="n">
        <f aca="false">X52*(L52-M52*P_Resell+(IF(Card_Ret_Label="Yes",Q52,0)+FF_Reverse)*FF_VAT_Mult)</f>
        <v>1.11868462809917</v>
      </c>
      <c r="Z52" s="55" t="n">
        <f aca="false">M52+Q52+R52+S52+T52+U52+V52+W52+Y52</f>
        <v>48.8882846280992</v>
      </c>
      <c r="AA52" s="53" t="str">
        <f aca="false">IF(E52=0,"",IF(NOT(ISNUMBER(Countries!$C$22)),"enter price",IF(O52=0,"pick courier",IF(P52=0,"too heavy","OK"))))</f>
        <v>OK</v>
      </c>
      <c r="AB52" s="55" t="n">
        <f aca="false">IF(AA52="OK",L52-Z52,"")</f>
        <v>0.533202975206613</v>
      </c>
      <c r="AC52" s="56" t="n">
        <f aca="false">IF(ISNUMBER(AB52),IF(L52&gt;0,AB52/L52,0),"")</f>
        <v>0.0107888896321071</v>
      </c>
      <c r="AD52" s="55" t="n">
        <f aca="false">IF(ISNUMBER(AB52),AB52+V52,"")</f>
        <v>15.5332029752066</v>
      </c>
      <c r="AE52" s="58" t="n">
        <f aca="false">IF(ISNUMBER(AD52),IF(AD52&gt;0,I52/AD52,"never"),"")</f>
        <v>3.84981771598878</v>
      </c>
    </row>
    <row r="53" customFormat="false" ht="15" hidden="false" customHeight="false" outlineLevel="0" collapsed="false">
      <c r="A53" s="53" t="str">
        <f aca="false">Countries!$A$22</f>
        <v>Belgium</v>
      </c>
      <c r="B53" s="54" t="n">
        <v>3</v>
      </c>
      <c r="C53" s="53" t="str">
        <f aca="false">'Product &amp; Offers'!$B$16</f>
        <v>Buy 1 Get 1 Free</v>
      </c>
      <c r="D53" s="53" t="str">
        <f aca="false">Countries!$B$22</f>
        <v>PostNL</v>
      </c>
      <c r="E53" s="54" t="n">
        <f aca="false">'Product &amp; Offers'!$C$16+'Product &amp; Offers'!$D$16</f>
        <v>2</v>
      </c>
      <c r="F53" s="55" t="n">
        <f aca="false">N(Countries!$C$22)</f>
        <v>29.9</v>
      </c>
      <c r="G53" s="55" t="n">
        <f aca="false">'Product &amp; Offers'!$C$16*F53</f>
        <v>29.9</v>
      </c>
      <c r="H53" s="55" t="n">
        <f aca="false">IF(AND(ISNUMBER(Countries!$E$22),G53&gt;=Countries!$E$22),0,N(Countries!$D$22))</f>
        <v>4.99</v>
      </c>
      <c r="I53" s="55" t="n">
        <f aca="false">G53+H53</f>
        <v>34.89</v>
      </c>
      <c r="J53" s="56" t="n">
        <f aca="false">IF(VAT_On_Sales="Yes",IFERROR(INDEX(VAT_Rate,MATCH(A53,VAT_Country,0)),0),0)</f>
        <v>0.21</v>
      </c>
      <c r="K53" s="55" t="n">
        <f aca="false">I53-I53/(1+J53)</f>
        <v>6.05528925619835</v>
      </c>
      <c r="L53" s="55" t="n">
        <f aca="false">I53-K53</f>
        <v>28.8347107438017</v>
      </c>
      <c r="M53" s="55" t="n">
        <f aca="false">E53*P_Landed</f>
        <v>10.76</v>
      </c>
      <c r="N53" s="57" t="n">
        <f aca="false">E53*P_Weight+P_PackW</f>
        <v>0.55</v>
      </c>
      <c r="O53" s="54" t="n">
        <f aca="false">IFERROR(MATCH(1,INDEX((Dest_Country=A53)*(Dest_Courier=D53),0),0),0)</f>
        <v>29</v>
      </c>
      <c r="P53" s="55" t="n">
        <f aca="false">IF(O53=0,0,IFERROR(INDEX(Rate_Table,O53,COUNTIF(Rate_Weights,"&lt;"&amp;N53)+1),0))</f>
        <v>8.5</v>
      </c>
      <c r="Q53" s="55" t="n">
        <f aca="false">IF(P53&gt;0,P53*(1+INDEX(Dest_Fuel,O53))+INDEX(Dest_SMS,O53),0)</f>
        <v>8.5</v>
      </c>
      <c r="R53" s="55" t="n">
        <f aca="false">IF(E53&gt;0,FF_Base+FF_Extra_Item*MAX(0,E53-2)+FF_Extra_5kg*ROUNDUP(MAX(0,N53-5)/5,0),0)</f>
        <v>0.65</v>
      </c>
      <c r="S53" s="55" t="n">
        <f aca="false">'Product &amp; Offers'!$E$16</f>
        <v>0.08</v>
      </c>
      <c r="T53" s="55" t="n">
        <f aca="false">I53*Stripe_Pct+Stripe_Fixed</f>
        <v>2.14406</v>
      </c>
      <c r="U53" s="55" t="n">
        <f aca="false">(Q53+R53+S53)*(FF_VAT_Mult-1)</f>
        <v>1.846</v>
      </c>
      <c r="V53" s="55" t="n">
        <f aca="false">N(Countries!$F$22)</f>
        <v>15</v>
      </c>
      <c r="W53" s="55" t="n">
        <f aca="false">Fixed_Per_Order</f>
        <v>1.5844</v>
      </c>
      <c r="X53" s="56" t="n">
        <f aca="false">N(Countries!$G$22)</f>
        <v>0.03</v>
      </c>
      <c r="Y53" s="55" t="n">
        <f aca="false">X53*(L53-M53*P_Resell+(IF(Card_Ret_Label="Yes",Q53,0)+FF_Reverse)*FF_VAT_Mult)</f>
        <v>0.63020132231405</v>
      </c>
      <c r="Z53" s="55" t="n">
        <f aca="false">M53+Q53+R53+S53+T53+U53+V53+W53+Y53</f>
        <v>41.1946613223141</v>
      </c>
      <c r="AA53" s="53" t="str">
        <f aca="false">IF(E53=0,"",IF(NOT(ISNUMBER(Countries!$C$22)),"enter price",IF(O53=0,"pick courier",IF(P53=0,"too heavy","OK"))))</f>
        <v>OK</v>
      </c>
      <c r="AB53" s="55" t="n">
        <f aca="false">IF(AA53="OK",L53-Z53,"")</f>
        <v>-12.3599505785124</v>
      </c>
      <c r="AC53" s="56" t="n">
        <f aca="false">IF(ISNUMBER(AB53),IF(L53&gt;0,AB53/L53,0),"")</f>
        <v>-0.428648329034107</v>
      </c>
      <c r="AD53" s="55" t="n">
        <f aca="false">IF(ISNUMBER(AB53),AB53+V53,"")</f>
        <v>2.64004942148761</v>
      </c>
      <c r="AE53" s="58" t="n">
        <f aca="false">IF(ISNUMBER(AD53),IF(AD53&gt;0,I53/AD53,"never"),"")</f>
        <v>13.2156616902801</v>
      </c>
    </row>
    <row r="54" customFormat="false" ht="15" hidden="false" customHeight="false" outlineLevel="0" collapsed="false">
      <c r="A54" s="53" t="str">
        <f aca="false">Countries!$A$23</f>
        <v>Denmark</v>
      </c>
      <c r="B54" s="54" t="n">
        <v>1</v>
      </c>
      <c r="C54" s="53" t="str">
        <f aca="false">'Product &amp; Offers'!$B$14</f>
        <v>Buy 1</v>
      </c>
      <c r="D54" s="53" t="str">
        <f aca="false">Countries!$B$23</f>
        <v>PostNord</v>
      </c>
      <c r="E54" s="54" t="n">
        <f aca="false">'Product &amp; Offers'!$C$14+'Product &amp; Offers'!$D$14</f>
        <v>1</v>
      </c>
      <c r="F54" s="55" t="n">
        <f aca="false">N(Countries!$C$23)</f>
        <v>29.9</v>
      </c>
      <c r="G54" s="55" t="n">
        <f aca="false">'Product &amp; Offers'!$C$14*F54</f>
        <v>29.9</v>
      </c>
      <c r="H54" s="55" t="n">
        <f aca="false">IF(AND(ISNUMBER(Countries!$E$23),G54&gt;=Countries!$E$23),0,N(Countries!$D$23))</f>
        <v>4.99</v>
      </c>
      <c r="I54" s="55" t="n">
        <f aca="false">G54+H54</f>
        <v>34.89</v>
      </c>
      <c r="J54" s="56" t="n">
        <f aca="false">IF(VAT_On_Sales="Yes",IFERROR(INDEX(VAT_Rate,MATCH(A54,VAT_Country,0)),0),0)</f>
        <v>0.25</v>
      </c>
      <c r="K54" s="55" t="n">
        <f aca="false">I54-I54/(1+J54)</f>
        <v>6.978</v>
      </c>
      <c r="L54" s="55" t="n">
        <f aca="false">I54-K54</f>
        <v>27.912</v>
      </c>
      <c r="M54" s="55" t="n">
        <f aca="false">E54*P_Landed</f>
        <v>5.38</v>
      </c>
      <c r="N54" s="57" t="n">
        <f aca="false">E54*P_Weight+P_PackW</f>
        <v>0.3</v>
      </c>
      <c r="O54" s="54" t="n">
        <f aca="false">IFERROR(MATCH(1,INDEX((Dest_Country=A54)*(Dest_Courier=D54),0),0),0)</f>
        <v>30</v>
      </c>
      <c r="P54" s="55" t="n">
        <f aca="false">IF(O54=0,0,IFERROR(INDEX(Rate_Table,O54,COUNTIF(Rate_Weights,"&lt;"&amp;N54)+1),0))</f>
        <v>7.525</v>
      </c>
      <c r="Q54" s="55" t="n">
        <f aca="false">IF(P54&gt;0,P54*(1+INDEX(Dest_Fuel,O54))+INDEX(Dest_SMS,O54),0)</f>
        <v>7.525</v>
      </c>
      <c r="R54" s="55" t="n">
        <f aca="false">IF(E54&gt;0,FF_Base+FF_Extra_Item*MAX(0,E54-2)+FF_Extra_5kg*ROUNDUP(MAX(0,N54-5)/5,0),0)</f>
        <v>0.65</v>
      </c>
      <c r="S54" s="55" t="n">
        <f aca="false">'Product &amp; Offers'!$E$14</f>
        <v>0.08</v>
      </c>
      <c r="T54" s="55" t="n">
        <f aca="false">I54*Stripe_Pct+Stripe_Fixed</f>
        <v>2.14406</v>
      </c>
      <c r="U54" s="55" t="n">
        <f aca="false">(Q54+R54+S54)*(FF_VAT_Mult-1)</f>
        <v>1.651</v>
      </c>
      <c r="V54" s="55" t="n">
        <f aca="false">N(Countries!$F$23)</f>
        <v>15</v>
      </c>
      <c r="W54" s="55" t="n">
        <f aca="false">Fixed_Per_Order</f>
        <v>1.5844</v>
      </c>
      <c r="X54" s="56" t="n">
        <f aca="false">N(Countries!$G$23)</f>
        <v>0.03</v>
      </c>
      <c r="Y54" s="55" t="n">
        <f aca="false">X54*(L54-M54*P_Resell+(IF(Card_Ret_Label="Yes",Q54,0)+FF_Reverse)*FF_VAT_Mult)</f>
        <v>0.73164</v>
      </c>
      <c r="Z54" s="55" t="n">
        <f aca="false">M54+Q54+R54+S54+T54+U54+V54+W54+Y54</f>
        <v>34.7461</v>
      </c>
      <c r="AA54" s="53" t="str">
        <f aca="false">IF(E54=0,"",IF(NOT(ISNUMBER(Countries!$C$23)),"enter price",IF(O54=0,"pick courier",IF(P54=0,"too heavy","OK"))))</f>
        <v>OK</v>
      </c>
      <c r="AB54" s="55" t="n">
        <f aca="false">IF(AA54="OK",L54-Z54,"")</f>
        <v>-6.8341</v>
      </c>
      <c r="AC54" s="56" t="n">
        <f aca="false">IF(ISNUMBER(AB54),IF(L54&gt;0,AB54/L54,0),"")</f>
        <v>-0.244844511321295</v>
      </c>
      <c r="AD54" s="55" t="n">
        <f aca="false">IF(ISNUMBER(AB54),AB54+V54,"")</f>
        <v>8.1659</v>
      </c>
      <c r="AE54" s="58" t="n">
        <f aca="false">IF(ISNUMBER(AD54),IF(AD54&gt;0,I54/AD54,"never"),"")</f>
        <v>4.27264600350237</v>
      </c>
    </row>
    <row r="55" customFormat="false" ht="15" hidden="false" customHeight="false" outlineLevel="0" collapsed="false">
      <c r="A55" s="53" t="str">
        <f aca="false">Countries!$A$23</f>
        <v>Denmark</v>
      </c>
      <c r="B55" s="54" t="n">
        <v>2</v>
      </c>
      <c r="C55" s="53" t="str">
        <f aca="false">'Product &amp; Offers'!$B$15</f>
        <v>Buy 2 Get 1 Free</v>
      </c>
      <c r="D55" s="53" t="str">
        <f aca="false">Countries!$B$23</f>
        <v>PostNord</v>
      </c>
      <c r="E55" s="54" t="n">
        <f aca="false">'Product &amp; Offers'!$C$15+'Product &amp; Offers'!$D$15</f>
        <v>3</v>
      </c>
      <c r="F55" s="55" t="n">
        <f aca="false">N(Countries!$C$23)</f>
        <v>29.9</v>
      </c>
      <c r="G55" s="55" t="n">
        <f aca="false">'Product &amp; Offers'!$C$15*F55</f>
        <v>59.8</v>
      </c>
      <c r="H55" s="55" t="n">
        <f aca="false">IF(AND(ISNUMBER(Countries!$E$23),G55&gt;=Countries!$E$23),0,N(Countries!$D$23))</f>
        <v>0</v>
      </c>
      <c r="I55" s="55" t="n">
        <f aca="false">G55+H55</f>
        <v>59.8</v>
      </c>
      <c r="J55" s="56" t="n">
        <f aca="false">IF(VAT_On_Sales="Yes",IFERROR(INDEX(VAT_Rate,MATCH(A55,VAT_Country,0)),0),0)</f>
        <v>0.25</v>
      </c>
      <c r="K55" s="55" t="n">
        <f aca="false">I55-I55/(1+J55)</f>
        <v>11.96</v>
      </c>
      <c r="L55" s="55" t="n">
        <f aca="false">I55-K55</f>
        <v>47.84</v>
      </c>
      <c r="M55" s="55" t="n">
        <f aca="false">E55*P_Landed</f>
        <v>16.14</v>
      </c>
      <c r="N55" s="57" t="n">
        <f aca="false">E55*P_Weight+P_PackW</f>
        <v>0.8</v>
      </c>
      <c r="O55" s="54" t="n">
        <f aca="false">IFERROR(MATCH(1,INDEX((Dest_Country=A55)*(Dest_Courier=D55),0),0),0)</f>
        <v>30</v>
      </c>
      <c r="P55" s="55" t="n">
        <f aca="false">IF(O55=0,0,IFERROR(INDEX(Rate_Table,O55,COUNTIF(Rate_Weights,"&lt;"&amp;N55)+1),0))</f>
        <v>8.6875</v>
      </c>
      <c r="Q55" s="55" t="n">
        <f aca="false">IF(P55&gt;0,P55*(1+INDEX(Dest_Fuel,O55))+INDEX(Dest_SMS,O55),0)</f>
        <v>8.6875</v>
      </c>
      <c r="R55" s="55" t="n">
        <f aca="false">IF(E55&gt;0,FF_Base+FF_Extra_Item*MAX(0,E55-2)+FF_Extra_5kg*ROUNDUP(MAX(0,N55-5)/5,0),0)</f>
        <v>1</v>
      </c>
      <c r="S55" s="55" t="n">
        <f aca="false">'Product &amp; Offers'!$E$15</f>
        <v>0.13</v>
      </c>
      <c r="T55" s="55" t="n">
        <f aca="false">I55*Stripe_Pct+Stripe_Fixed</f>
        <v>3.4892</v>
      </c>
      <c r="U55" s="55" t="n">
        <f aca="false">(Q55+R55+S55)*(FF_VAT_Mult-1)</f>
        <v>1.9635</v>
      </c>
      <c r="V55" s="55" t="n">
        <f aca="false">N(Countries!$F$23)</f>
        <v>15</v>
      </c>
      <c r="W55" s="55" t="n">
        <f aca="false">Fixed_Per_Order</f>
        <v>1.5844</v>
      </c>
      <c r="X55" s="56" t="n">
        <f aca="false">N(Countries!$G$23)</f>
        <v>0.03</v>
      </c>
      <c r="Y55" s="55" t="n">
        <f aca="false">X55*(L55-M55*P_Resell+(IF(Card_Ret_Label="Yes",Q55,0)+FF_Reverse)*FF_VAT_Mult)</f>
        <v>1.07124</v>
      </c>
      <c r="Z55" s="55" t="n">
        <f aca="false">M55+Q55+R55+S55+T55+U55+V55+W55+Y55</f>
        <v>49.06584</v>
      </c>
      <c r="AA55" s="53" t="str">
        <f aca="false">IF(E55=0,"",IF(NOT(ISNUMBER(Countries!$C$23)),"enter price",IF(O55=0,"pick courier",IF(P55=0,"too heavy","OK"))))</f>
        <v>OK</v>
      </c>
      <c r="AB55" s="55" t="n">
        <f aca="false">IF(AA55="OK",L55-Z55,"")</f>
        <v>-1.22584000000001</v>
      </c>
      <c r="AC55" s="56" t="n">
        <f aca="false">IF(ISNUMBER(AB55),IF(L55&gt;0,AB55/L55,0),"")</f>
        <v>-0.0256237458193983</v>
      </c>
      <c r="AD55" s="55" t="n">
        <f aca="false">IF(ISNUMBER(AB55),AB55+V55,"")</f>
        <v>13.77416</v>
      </c>
      <c r="AE55" s="58" t="n">
        <f aca="false">IF(ISNUMBER(AD55),IF(AD55&gt;0,I55/AD55,"never"),"")</f>
        <v>4.34146256468634</v>
      </c>
    </row>
    <row r="56" customFormat="false" ht="15" hidden="false" customHeight="false" outlineLevel="0" collapsed="false">
      <c r="A56" s="53" t="str">
        <f aca="false">Countries!$A$23</f>
        <v>Denmark</v>
      </c>
      <c r="B56" s="54" t="n">
        <v>3</v>
      </c>
      <c r="C56" s="53" t="str">
        <f aca="false">'Product &amp; Offers'!$B$16</f>
        <v>Buy 1 Get 1 Free</v>
      </c>
      <c r="D56" s="53" t="str">
        <f aca="false">Countries!$B$23</f>
        <v>PostNord</v>
      </c>
      <c r="E56" s="54" t="n">
        <f aca="false">'Product &amp; Offers'!$C$16+'Product &amp; Offers'!$D$16</f>
        <v>2</v>
      </c>
      <c r="F56" s="55" t="n">
        <f aca="false">N(Countries!$C$23)</f>
        <v>29.9</v>
      </c>
      <c r="G56" s="55" t="n">
        <f aca="false">'Product &amp; Offers'!$C$16*F56</f>
        <v>29.9</v>
      </c>
      <c r="H56" s="55" t="n">
        <f aca="false">IF(AND(ISNUMBER(Countries!$E$23),G56&gt;=Countries!$E$23),0,N(Countries!$D$23))</f>
        <v>4.99</v>
      </c>
      <c r="I56" s="55" t="n">
        <f aca="false">G56+H56</f>
        <v>34.89</v>
      </c>
      <c r="J56" s="56" t="n">
        <f aca="false">IF(VAT_On_Sales="Yes",IFERROR(INDEX(VAT_Rate,MATCH(A56,VAT_Country,0)),0),0)</f>
        <v>0.25</v>
      </c>
      <c r="K56" s="55" t="n">
        <f aca="false">I56-I56/(1+J56)</f>
        <v>6.978</v>
      </c>
      <c r="L56" s="55" t="n">
        <f aca="false">I56-K56</f>
        <v>27.912</v>
      </c>
      <c r="M56" s="55" t="n">
        <f aca="false">E56*P_Landed</f>
        <v>10.76</v>
      </c>
      <c r="N56" s="57" t="n">
        <f aca="false">E56*P_Weight+P_PackW</f>
        <v>0.55</v>
      </c>
      <c r="O56" s="54" t="n">
        <f aca="false">IFERROR(MATCH(1,INDEX((Dest_Country=A56)*(Dest_Courier=D56),0),0),0)</f>
        <v>30</v>
      </c>
      <c r="P56" s="55" t="n">
        <f aca="false">IF(O56=0,0,IFERROR(INDEX(Rate_Table,O56,COUNTIF(Rate_Weights,"&lt;"&amp;N56)+1),0))</f>
        <v>8.6875</v>
      </c>
      <c r="Q56" s="55" t="n">
        <f aca="false">IF(P56&gt;0,P56*(1+INDEX(Dest_Fuel,O56))+INDEX(Dest_SMS,O56),0)</f>
        <v>8.6875</v>
      </c>
      <c r="R56" s="55" t="n">
        <f aca="false">IF(E56&gt;0,FF_Base+FF_Extra_Item*MAX(0,E56-2)+FF_Extra_5kg*ROUNDUP(MAX(0,N56-5)/5,0),0)</f>
        <v>0.65</v>
      </c>
      <c r="S56" s="55" t="n">
        <f aca="false">'Product &amp; Offers'!$E$16</f>
        <v>0.08</v>
      </c>
      <c r="T56" s="55" t="n">
        <f aca="false">I56*Stripe_Pct+Stripe_Fixed</f>
        <v>2.14406</v>
      </c>
      <c r="U56" s="55" t="n">
        <f aca="false">(Q56+R56+S56)*(FF_VAT_Mult-1)</f>
        <v>1.8835</v>
      </c>
      <c r="V56" s="55" t="n">
        <f aca="false">N(Countries!$F$23)</f>
        <v>15</v>
      </c>
      <c r="W56" s="55" t="n">
        <f aca="false">Fixed_Per_Order</f>
        <v>1.5844</v>
      </c>
      <c r="X56" s="56" t="n">
        <f aca="false">N(Countries!$G$23)</f>
        <v>0.03</v>
      </c>
      <c r="Y56" s="55" t="n">
        <f aca="false">X56*(L56-M56*P_Resell+(IF(Card_Ret_Label="Yes",Q56,0)+FF_Reverse)*FF_VAT_Mult)</f>
        <v>0.60252</v>
      </c>
      <c r="Z56" s="55" t="n">
        <f aca="false">M56+Q56+R56+S56+T56+U56+V56+W56+Y56</f>
        <v>41.39198</v>
      </c>
      <c r="AA56" s="53" t="str">
        <f aca="false">IF(E56=0,"",IF(NOT(ISNUMBER(Countries!$C$23)),"enter price",IF(O56=0,"pick courier",IF(P56=0,"too heavy","OK"))))</f>
        <v>OK</v>
      </c>
      <c r="AB56" s="55" t="n">
        <f aca="false">IF(AA56="OK",L56-Z56,"")</f>
        <v>-13.47998</v>
      </c>
      <c r="AC56" s="56" t="n">
        <f aca="false">IF(ISNUMBER(AB56),IF(L56&gt;0,AB56/L56,0),"")</f>
        <v>-0.482945686443107</v>
      </c>
      <c r="AD56" s="55" t="n">
        <f aca="false">IF(ISNUMBER(AB56),AB56+V56,"")</f>
        <v>1.52002</v>
      </c>
      <c r="AE56" s="58" t="n">
        <f aca="false">IF(ISNUMBER(AD56),IF(AD56&gt;0,I56/AD56,"never"),"")</f>
        <v>22.9536453467717</v>
      </c>
    </row>
    <row r="57" customFormat="false" ht="15" hidden="false" customHeight="false" outlineLevel="0" collapsed="false">
      <c r="A57" s="53" t="str">
        <f aca="false">Countries!$A$24</f>
        <v>Netherlands</v>
      </c>
      <c r="B57" s="54" t="n">
        <v>1</v>
      </c>
      <c r="C57" s="53" t="str">
        <f aca="false">'Product &amp; Offers'!$B$14</f>
        <v>Buy 1</v>
      </c>
      <c r="D57" s="53" t="str">
        <f aca="false">Countries!$B$24</f>
        <v>PostNL</v>
      </c>
      <c r="E57" s="54" t="n">
        <f aca="false">'Product &amp; Offers'!$C$14+'Product &amp; Offers'!$D$14</f>
        <v>1</v>
      </c>
      <c r="F57" s="55" t="n">
        <f aca="false">N(Countries!$C$24)</f>
        <v>29.9</v>
      </c>
      <c r="G57" s="55" t="n">
        <f aca="false">'Product &amp; Offers'!$C$14*F57</f>
        <v>29.9</v>
      </c>
      <c r="H57" s="55" t="n">
        <f aca="false">IF(AND(ISNUMBER(Countries!$E$24),G57&gt;=Countries!$E$24),0,N(Countries!$D$24))</f>
        <v>4.99</v>
      </c>
      <c r="I57" s="55" t="n">
        <f aca="false">G57+H57</f>
        <v>34.89</v>
      </c>
      <c r="J57" s="56" t="n">
        <f aca="false">IF(VAT_On_Sales="Yes",IFERROR(INDEX(VAT_Rate,MATCH(A57,VAT_Country,0)),0),0)</f>
        <v>0.21</v>
      </c>
      <c r="K57" s="55" t="n">
        <f aca="false">I57-I57/(1+J57)</f>
        <v>6.05528925619835</v>
      </c>
      <c r="L57" s="55" t="n">
        <f aca="false">I57-K57</f>
        <v>28.8347107438017</v>
      </c>
      <c r="M57" s="55" t="n">
        <f aca="false">E57*P_Landed</f>
        <v>5.38</v>
      </c>
      <c r="N57" s="57" t="n">
        <f aca="false">E57*P_Weight+P_PackW</f>
        <v>0.3</v>
      </c>
      <c r="O57" s="54" t="n">
        <f aca="false">IFERROR(MATCH(1,INDEX((Dest_Country=A57)*(Dest_Courier=D57),0),0),0)</f>
        <v>31</v>
      </c>
      <c r="P57" s="55" t="n">
        <f aca="false">IF(O57=0,0,IFERROR(INDEX(Rate_Table,O57,COUNTIF(Rate_Weights,"&lt;"&amp;N57)+1),0))</f>
        <v>7.6875</v>
      </c>
      <c r="Q57" s="55" t="n">
        <f aca="false">IF(P57&gt;0,P57*(1+INDEX(Dest_Fuel,O57))+INDEX(Dest_SMS,O57),0)</f>
        <v>7.6875</v>
      </c>
      <c r="R57" s="55" t="n">
        <f aca="false">IF(E57&gt;0,FF_Base+FF_Extra_Item*MAX(0,E57-2)+FF_Extra_5kg*ROUNDUP(MAX(0,N57-5)/5,0),0)</f>
        <v>0.65</v>
      </c>
      <c r="S57" s="55" t="n">
        <f aca="false">'Product &amp; Offers'!$E$14</f>
        <v>0.08</v>
      </c>
      <c r="T57" s="55" t="n">
        <f aca="false">I57*Stripe_Pct+Stripe_Fixed</f>
        <v>2.14406</v>
      </c>
      <c r="U57" s="55" t="n">
        <f aca="false">(Q57+R57+S57)*(FF_VAT_Mult-1)</f>
        <v>1.6835</v>
      </c>
      <c r="V57" s="55" t="n">
        <f aca="false">N(Countries!$F$24)</f>
        <v>15</v>
      </c>
      <c r="W57" s="55" t="n">
        <f aca="false">Fixed_Per_Order</f>
        <v>1.5844</v>
      </c>
      <c r="X57" s="56" t="n">
        <f aca="false">N(Countries!$G$24)</f>
        <v>0.03</v>
      </c>
      <c r="Y57" s="55" t="n">
        <f aca="false">X57*(L57-M57*P_Resell+(IF(Card_Ret_Label="Yes",Q57,0)+FF_Reverse)*FF_VAT_Mult)</f>
        <v>0.75932132231405</v>
      </c>
      <c r="Z57" s="55" t="n">
        <f aca="false">M57+Q57+R57+S57+T57+U57+V57+W57+Y57</f>
        <v>34.9687813223141</v>
      </c>
      <c r="AA57" s="53" t="str">
        <f aca="false">IF(E57=0,"",IF(NOT(ISNUMBER(Countries!$C$24)),"enter price",IF(O57=0,"pick courier",IF(P57=0,"too heavy","OK"))))</f>
        <v>OK</v>
      </c>
      <c r="AB57" s="55" t="n">
        <f aca="false">IF(AA57="OK",L57-Z57,"")</f>
        <v>-6.1340705785124</v>
      </c>
      <c r="AC57" s="56" t="n">
        <f aca="false">IF(ISNUMBER(AB57),IF(L57&gt;0,AB57/L57,0),"")</f>
        <v>-0.212732169676125</v>
      </c>
      <c r="AD57" s="55" t="n">
        <f aca="false">IF(ISNUMBER(AB57),AB57+V57,"")</f>
        <v>8.8659294214876</v>
      </c>
      <c r="AE57" s="58" t="n">
        <f aca="false">IF(ISNUMBER(AD57),IF(AD57&gt;0,I57/AD57,"never"),"")</f>
        <v>3.93528961728931</v>
      </c>
    </row>
    <row r="58" customFormat="false" ht="15" hidden="false" customHeight="false" outlineLevel="0" collapsed="false">
      <c r="A58" s="53" t="str">
        <f aca="false">Countries!$A$24</f>
        <v>Netherlands</v>
      </c>
      <c r="B58" s="54" t="n">
        <v>2</v>
      </c>
      <c r="C58" s="53" t="str">
        <f aca="false">'Product &amp; Offers'!$B$15</f>
        <v>Buy 2 Get 1 Free</v>
      </c>
      <c r="D58" s="53" t="str">
        <f aca="false">Countries!$B$24</f>
        <v>PostNL</v>
      </c>
      <c r="E58" s="54" t="n">
        <f aca="false">'Product &amp; Offers'!$C$15+'Product &amp; Offers'!$D$15</f>
        <v>3</v>
      </c>
      <c r="F58" s="55" t="n">
        <f aca="false">N(Countries!$C$24)</f>
        <v>29.9</v>
      </c>
      <c r="G58" s="55" t="n">
        <f aca="false">'Product &amp; Offers'!$C$15*F58</f>
        <v>59.8</v>
      </c>
      <c r="H58" s="55" t="n">
        <f aca="false">IF(AND(ISNUMBER(Countries!$E$24),G58&gt;=Countries!$E$24),0,N(Countries!$D$24))</f>
        <v>0</v>
      </c>
      <c r="I58" s="55" t="n">
        <f aca="false">G58+H58</f>
        <v>59.8</v>
      </c>
      <c r="J58" s="56" t="n">
        <f aca="false">IF(VAT_On_Sales="Yes",IFERROR(INDEX(VAT_Rate,MATCH(A58,VAT_Country,0)),0),0)</f>
        <v>0.21</v>
      </c>
      <c r="K58" s="55" t="n">
        <f aca="false">I58-I58/(1+J58)</f>
        <v>10.3785123966942</v>
      </c>
      <c r="L58" s="55" t="n">
        <f aca="false">I58-K58</f>
        <v>49.4214876033058</v>
      </c>
      <c r="M58" s="55" t="n">
        <f aca="false">E58*P_Landed</f>
        <v>16.14</v>
      </c>
      <c r="N58" s="57" t="n">
        <f aca="false">E58*P_Weight+P_PackW</f>
        <v>0.8</v>
      </c>
      <c r="O58" s="54" t="n">
        <f aca="false">IFERROR(MATCH(1,INDEX((Dest_Country=A58)*(Dest_Courier=D58),0),0),0)</f>
        <v>31</v>
      </c>
      <c r="P58" s="55" t="n">
        <f aca="false">IF(O58=0,0,IFERROR(INDEX(Rate_Table,O58,COUNTIF(Rate_Weights,"&lt;"&amp;N58)+1),0))</f>
        <v>8.225</v>
      </c>
      <c r="Q58" s="55" t="n">
        <f aca="false">IF(P58&gt;0,P58*(1+INDEX(Dest_Fuel,O58))+INDEX(Dest_SMS,O58),0)</f>
        <v>8.225</v>
      </c>
      <c r="R58" s="55" t="n">
        <f aca="false">IF(E58&gt;0,FF_Base+FF_Extra_Item*MAX(0,E58-2)+FF_Extra_5kg*ROUNDUP(MAX(0,N58-5)/5,0),0)</f>
        <v>1</v>
      </c>
      <c r="S58" s="55" t="n">
        <f aca="false">'Product &amp; Offers'!$E$15</f>
        <v>0.13</v>
      </c>
      <c r="T58" s="55" t="n">
        <f aca="false">I58*Stripe_Pct+Stripe_Fixed</f>
        <v>3.4892</v>
      </c>
      <c r="U58" s="55" t="n">
        <f aca="false">(Q58+R58+S58)*(FF_VAT_Mult-1)</f>
        <v>1.871</v>
      </c>
      <c r="V58" s="55" t="n">
        <f aca="false">N(Countries!$F$24)</f>
        <v>15</v>
      </c>
      <c r="W58" s="55" t="n">
        <f aca="false">Fixed_Per_Order</f>
        <v>1.5844</v>
      </c>
      <c r="X58" s="56" t="n">
        <f aca="false">N(Countries!$G$24)</f>
        <v>0.03</v>
      </c>
      <c r="Y58" s="55" t="n">
        <f aca="false">X58*(L58-M58*P_Resell+(IF(Card_Ret_Label="Yes",Q58,0)+FF_Reverse)*FF_VAT_Mult)</f>
        <v>1.11868462809917</v>
      </c>
      <c r="Z58" s="55" t="n">
        <f aca="false">M58+Q58+R58+S58+T58+U58+V58+W58+Y58</f>
        <v>48.5582846280992</v>
      </c>
      <c r="AA58" s="53" t="str">
        <f aca="false">IF(E58=0,"",IF(NOT(ISNUMBER(Countries!$C$24)),"enter price",IF(O58=0,"pick courier",IF(P58=0,"too heavy","OK"))))</f>
        <v>OK</v>
      </c>
      <c r="AB58" s="55" t="n">
        <f aca="false">IF(AA58="OK",L58-Z58,"")</f>
        <v>0.863202975206612</v>
      </c>
      <c r="AC58" s="56" t="n">
        <f aca="false">IF(ISNUMBER(AB58),IF(L58&gt;0,AB58/L58,0),"")</f>
        <v>0.0174661471571906</v>
      </c>
      <c r="AD58" s="55" t="n">
        <f aca="false">IF(ISNUMBER(AB58),AB58+V58,"")</f>
        <v>15.8632029752066</v>
      </c>
      <c r="AE58" s="58" t="n">
        <f aca="false">IF(ISNUMBER(AD58),IF(AD58&gt;0,I58/AD58,"never"),"")</f>
        <v>3.76973049474714</v>
      </c>
    </row>
    <row r="59" customFormat="false" ht="15" hidden="false" customHeight="false" outlineLevel="0" collapsed="false">
      <c r="A59" s="53" t="str">
        <f aca="false">Countries!$A$24</f>
        <v>Netherlands</v>
      </c>
      <c r="B59" s="54" t="n">
        <v>3</v>
      </c>
      <c r="C59" s="53" t="str">
        <f aca="false">'Product &amp; Offers'!$B$16</f>
        <v>Buy 1 Get 1 Free</v>
      </c>
      <c r="D59" s="53" t="str">
        <f aca="false">Countries!$B$24</f>
        <v>PostNL</v>
      </c>
      <c r="E59" s="54" t="n">
        <f aca="false">'Product &amp; Offers'!$C$16+'Product &amp; Offers'!$D$16</f>
        <v>2</v>
      </c>
      <c r="F59" s="55" t="n">
        <f aca="false">N(Countries!$C$24)</f>
        <v>29.9</v>
      </c>
      <c r="G59" s="55" t="n">
        <f aca="false">'Product &amp; Offers'!$C$16*F59</f>
        <v>29.9</v>
      </c>
      <c r="H59" s="55" t="n">
        <f aca="false">IF(AND(ISNUMBER(Countries!$E$24),G59&gt;=Countries!$E$24),0,N(Countries!$D$24))</f>
        <v>4.99</v>
      </c>
      <c r="I59" s="55" t="n">
        <f aca="false">G59+H59</f>
        <v>34.89</v>
      </c>
      <c r="J59" s="56" t="n">
        <f aca="false">IF(VAT_On_Sales="Yes",IFERROR(INDEX(VAT_Rate,MATCH(A59,VAT_Country,0)),0),0)</f>
        <v>0.21</v>
      </c>
      <c r="K59" s="55" t="n">
        <f aca="false">I59-I59/(1+J59)</f>
        <v>6.05528925619835</v>
      </c>
      <c r="L59" s="55" t="n">
        <f aca="false">I59-K59</f>
        <v>28.8347107438017</v>
      </c>
      <c r="M59" s="55" t="n">
        <f aca="false">E59*P_Landed</f>
        <v>10.76</v>
      </c>
      <c r="N59" s="57" t="n">
        <f aca="false">E59*P_Weight+P_PackW</f>
        <v>0.55</v>
      </c>
      <c r="O59" s="54" t="n">
        <f aca="false">IFERROR(MATCH(1,INDEX((Dest_Country=A59)*(Dest_Courier=D59),0),0),0)</f>
        <v>31</v>
      </c>
      <c r="P59" s="55" t="n">
        <f aca="false">IF(O59=0,0,IFERROR(INDEX(Rate_Table,O59,COUNTIF(Rate_Weights,"&lt;"&amp;N59)+1),0))</f>
        <v>8.225</v>
      </c>
      <c r="Q59" s="55" t="n">
        <f aca="false">IF(P59&gt;0,P59*(1+INDEX(Dest_Fuel,O59))+INDEX(Dest_SMS,O59),0)</f>
        <v>8.225</v>
      </c>
      <c r="R59" s="55" t="n">
        <f aca="false">IF(E59&gt;0,FF_Base+FF_Extra_Item*MAX(0,E59-2)+FF_Extra_5kg*ROUNDUP(MAX(0,N59-5)/5,0),0)</f>
        <v>0.65</v>
      </c>
      <c r="S59" s="55" t="n">
        <f aca="false">'Product &amp; Offers'!$E$16</f>
        <v>0.08</v>
      </c>
      <c r="T59" s="55" t="n">
        <f aca="false">I59*Stripe_Pct+Stripe_Fixed</f>
        <v>2.14406</v>
      </c>
      <c r="U59" s="55" t="n">
        <f aca="false">(Q59+R59+S59)*(FF_VAT_Mult-1)</f>
        <v>1.791</v>
      </c>
      <c r="V59" s="55" t="n">
        <f aca="false">N(Countries!$F$24)</f>
        <v>15</v>
      </c>
      <c r="W59" s="55" t="n">
        <f aca="false">Fixed_Per_Order</f>
        <v>1.5844</v>
      </c>
      <c r="X59" s="56" t="n">
        <f aca="false">N(Countries!$G$24)</f>
        <v>0.03</v>
      </c>
      <c r="Y59" s="55" t="n">
        <f aca="false">X59*(L59-M59*P_Resell+(IF(Card_Ret_Label="Yes",Q59,0)+FF_Reverse)*FF_VAT_Mult)</f>
        <v>0.63020132231405</v>
      </c>
      <c r="Z59" s="55" t="n">
        <f aca="false">M59+Q59+R59+S59+T59+U59+V59+W59+Y59</f>
        <v>40.8646613223141</v>
      </c>
      <c r="AA59" s="53" t="str">
        <f aca="false">IF(E59=0,"",IF(NOT(ISNUMBER(Countries!$C$24)),"enter price",IF(O59=0,"pick courier",IF(P59=0,"too heavy","OK"))))</f>
        <v>OK</v>
      </c>
      <c r="AB59" s="55" t="n">
        <f aca="false">IF(AA59="OK",L59-Z59,"")</f>
        <v>-12.0299505785124</v>
      </c>
      <c r="AC59" s="56" t="n">
        <f aca="false">IF(ISNUMBER(AB59),IF(L59&gt;0,AB59/L59,0),"")</f>
        <v>-0.417203789051304</v>
      </c>
      <c r="AD59" s="55" t="n">
        <f aca="false">IF(ISNUMBER(AB59),AB59+V59,"")</f>
        <v>2.97004942148761</v>
      </c>
      <c r="AE59" s="58" t="n">
        <f aca="false">IF(ISNUMBER(AD59),IF(AD59&gt;0,I59/AD59,"never"),"")</f>
        <v>11.747279270028</v>
      </c>
    </row>
    <row r="60" customFormat="false" ht="15" hidden="false" customHeight="false" outlineLevel="0" collapsed="false">
      <c r="A60" s="53" t="str">
        <f aca="false">Countries!$A$25</f>
        <v>Luxembourg</v>
      </c>
      <c r="B60" s="54" t="n">
        <v>1</v>
      </c>
      <c r="C60" s="53" t="str">
        <f aca="false">'Product &amp; Offers'!$B$14</f>
        <v>Buy 1</v>
      </c>
      <c r="D60" s="53" t="str">
        <f aca="false">Countries!$B$25</f>
        <v>PostNL</v>
      </c>
      <c r="E60" s="54" t="n">
        <f aca="false">'Product &amp; Offers'!$C$14+'Product &amp; Offers'!$D$14</f>
        <v>1</v>
      </c>
      <c r="F60" s="55" t="n">
        <f aca="false">N(Countries!$C$25)</f>
        <v>29.9</v>
      </c>
      <c r="G60" s="55" t="n">
        <f aca="false">'Product &amp; Offers'!$C$14*F60</f>
        <v>29.9</v>
      </c>
      <c r="H60" s="55" t="n">
        <f aca="false">IF(AND(ISNUMBER(Countries!$E$25),G60&gt;=Countries!$E$25),0,N(Countries!$D$25))</f>
        <v>4.99</v>
      </c>
      <c r="I60" s="55" t="n">
        <f aca="false">G60+H60</f>
        <v>34.89</v>
      </c>
      <c r="J60" s="56" t="n">
        <f aca="false">IF(VAT_On_Sales="Yes",IFERROR(INDEX(VAT_Rate,MATCH(A60,VAT_Country,0)),0),0)</f>
        <v>0.17</v>
      </c>
      <c r="K60" s="55" t="n">
        <f aca="false">I60-I60/(1+J60)</f>
        <v>5.06948717948718</v>
      </c>
      <c r="L60" s="55" t="n">
        <f aca="false">I60-K60</f>
        <v>29.8205128205128</v>
      </c>
      <c r="M60" s="55" t="n">
        <f aca="false">E60*P_Landed</f>
        <v>5.38</v>
      </c>
      <c r="N60" s="57" t="n">
        <f aca="false">E60*P_Weight+P_PackW</f>
        <v>0.3</v>
      </c>
      <c r="O60" s="54" t="n">
        <f aca="false">IFERROR(MATCH(1,INDEX((Dest_Country=A60)*(Dest_Courier=D60),0),0),0)</f>
        <v>32</v>
      </c>
      <c r="P60" s="55" t="n">
        <f aca="false">IF(O60=0,0,IFERROR(INDEX(Rate_Table,O60,COUNTIF(Rate_Weights,"&lt;"&amp;N60)+1),0))</f>
        <v>5.55</v>
      </c>
      <c r="Q60" s="55" t="n">
        <f aca="false">IF(P60&gt;0,P60*(1+INDEX(Dest_Fuel,O60))+INDEX(Dest_SMS,O60),0)</f>
        <v>5.55</v>
      </c>
      <c r="R60" s="55" t="n">
        <f aca="false">IF(E60&gt;0,FF_Base+FF_Extra_Item*MAX(0,E60-2)+FF_Extra_5kg*ROUNDUP(MAX(0,N60-5)/5,0),0)</f>
        <v>0.65</v>
      </c>
      <c r="S60" s="55" t="n">
        <f aca="false">'Product &amp; Offers'!$E$14</f>
        <v>0.08</v>
      </c>
      <c r="T60" s="55" t="n">
        <f aca="false">I60*Stripe_Pct+Stripe_Fixed</f>
        <v>2.14406</v>
      </c>
      <c r="U60" s="55" t="n">
        <f aca="false">(Q60+R60+S60)*(FF_VAT_Mult-1)</f>
        <v>1.256</v>
      </c>
      <c r="V60" s="55" t="n">
        <f aca="false">N(Countries!$F$25)</f>
        <v>15</v>
      </c>
      <c r="W60" s="55" t="n">
        <f aca="false">Fixed_Per_Order</f>
        <v>1.5844</v>
      </c>
      <c r="X60" s="56" t="n">
        <f aca="false">N(Countries!$G$25)</f>
        <v>0.03</v>
      </c>
      <c r="Y60" s="55" t="n">
        <f aca="false">X60*(L60-M60*P_Resell+(IF(Card_Ret_Label="Yes",Q60,0)+FF_Reverse)*FF_VAT_Mult)</f>
        <v>0.788895384615385</v>
      </c>
      <c r="Z60" s="55" t="n">
        <f aca="false">M60+Q60+R60+S60+T60+U60+V60+W60+Y60</f>
        <v>32.4333553846154</v>
      </c>
      <c r="AA60" s="53" t="str">
        <f aca="false">IF(E60=0,"",IF(NOT(ISNUMBER(Countries!$C$25)),"enter price",IF(O60=0,"pick courier",IF(P60=0,"too heavy","OK"))))</f>
        <v>OK</v>
      </c>
      <c r="AB60" s="55" t="n">
        <f aca="false">IF(AA60="OK",L60-Z60,"")</f>
        <v>-2.61284256410256</v>
      </c>
      <c r="AC60" s="56" t="n">
        <f aca="false">IF(ISNUMBER(AB60),IF(L60&gt;0,AB60/L60,0),"")</f>
        <v>-0.0876189681857265</v>
      </c>
      <c r="AD60" s="55" t="n">
        <f aca="false">IF(ISNUMBER(AB60),AB60+V60,"")</f>
        <v>12.3871574358974</v>
      </c>
      <c r="AE60" s="58" t="n">
        <f aca="false">IF(ISNUMBER(AD60),IF(AD60&gt;0,I60/AD60,"never"),"")</f>
        <v>2.81662683150295</v>
      </c>
    </row>
    <row r="61" customFormat="false" ht="15" hidden="false" customHeight="false" outlineLevel="0" collapsed="false">
      <c r="A61" s="53" t="str">
        <f aca="false">Countries!$A$25</f>
        <v>Luxembourg</v>
      </c>
      <c r="B61" s="54" t="n">
        <v>2</v>
      </c>
      <c r="C61" s="53" t="str">
        <f aca="false">'Product &amp; Offers'!$B$15</f>
        <v>Buy 2 Get 1 Free</v>
      </c>
      <c r="D61" s="53" t="str">
        <f aca="false">Countries!$B$25</f>
        <v>PostNL</v>
      </c>
      <c r="E61" s="54" t="n">
        <f aca="false">'Product &amp; Offers'!$C$15+'Product &amp; Offers'!$D$15</f>
        <v>3</v>
      </c>
      <c r="F61" s="55" t="n">
        <f aca="false">N(Countries!$C$25)</f>
        <v>29.9</v>
      </c>
      <c r="G61" s="55" t="n">
        <f aca="false">'Product &amp; Offers'!$C$15*F61</f>
        <v>59.8</v>
      </c>
      <c r="H61" s="55" t="n">
        <f aca="false">IF(AND(ISNUMBER(Countries!$E$25),G61&gt;=Countries!$E$25),0,N(Countries!$D$25))</f>
        <v>0</v>
      </c>
      <c r="I61" s="55" t="n">
        <f aca="false">G61+H61</f>
        <v>59.8</v>
      </c>
      <c r="J61" s="56" t="n">
        <f aca="false">IF(VAT_On_Sales="Yes",IFERROR(INDEX(VAT_Rate,MATCH(A61,VAT_Country,0)),0),0)</f>
        <v>0.17</v>
      </c>
      <c r="K61" s="55" t="n">
        <f aca="false">I61-I61/(1+J61)</f>
        <v>8.68888888888888</v>
      </c>
      <c r="L61" s="55" t="n">
        <f aca="false">I61-K61</f>
        <v>51.1111111111111</v>
      </c>
      <c r="M61" s="55" t="n">
        <f aca="false">E61*P_Landed</f>
        <v>16.14</v>
      </c>
      <c r="N61" s="57" t="n">
        <f aca="false">E61*P_Weight+P_PackW</f>
        <v>0.8</v>
      </c>
      <c r="O61" s="54" t="n">
        <f aca="false">IFERROR(MATCH(1,INDEX((Dest_Country=A61)*(Dest_Courier=D61),0),0),0)</f>
        <v>32</v>
      </c>
      <c r="P61" s="55" t="n">
        <f aca="false">IF(O61=0,0,IFERROR(INDEX(Rate_Table,O61,COUNTIF(Rate_Weights,"&lt;"&amp;N61)+1),0))</f>
        <v>6.8625</v>
      </c>
      <c r="Q61" s="55" t="n">
        <f aca="false">IF(P61&gt;0,P61*(1+INDEX(Dest_Fuel,O61))+INDEX(Dest_SMS,O61),0)</f>
        <v>6.8625</v>
      </c>
      <c r="R61" s="55" t="n">
        <f aca="false">IF(E61&gt;0,FF_Base+FF_Extra_Item*MAX(0,E61-2)+FF_Extra_5kg*ROUNDUP(MAX(0,N61-5)/5,0),0)</f>
        <v>1</v>
      </c>
      <c r="S61" s="55" t="n">
        <f aca="false">'Product &amp; Offers'!$E$15</f>
        <v>0.13</v>
      </c>
      <c r="T61" s="55" t="n">
        <f aca="false">I61*Stripe_Pct+Stripe_Fixed</f>
        <v>3.4892</v>
      </c>
      <c r="U61" s="55" t="n">
        <f aca="false">(Q61+R61+S61)*(FF_VAT_Mult-1)</f>
        <v>1.5985</v>
      </c>
      <c r="V61" s="55" t="n">
        <f aca="false">N(Countries!$F$25)</f>
        <v>15</v>
      </c>
      <c r="W61" s="55" t="n">
        <f aca="false">Fixed_Per_Order</f>
        <v>1.5844</v>
      </c>
      <c r="X61" s="56" t="n">
        <f aca="false">N(Countries!$G$25)</f>
        <v>0.03</v>
      </c>
      <c r="Y61" s="55" t="n">
        <f aca="false">X61*(L61-M61*P_Resell+(IF(Card_Ret_Label="Yes",Q61,0)+FF_Reverse)*FF_VAT_Mult)</f>
        <v>1.16937333333333</v>
      </c>
      <c r="Z61" s="55" t="n">
        <f aca="false">M61+Q61+R61+S61+T61+U61+V61+W61+Y61</f>
        <v>46.9739733333333</v>
      </c>
      <c r="AA61" s="53" t="str">
        <f aca="false">IF(E61=0,"",IF(NOT(ISNUMBER(Countries!$C$25)),"enter price",IF(O61=0,"pick courier",IF(P61=0,"too heavy","OK"))))</f>
        <v>OK</v>
      </c>
      <c r="AB61" s="55" t="n">
        <f aca="false">IF(AA61="OK",L61-Z61,"")</f>
        <v>4.13713777777778</v>
      </c>
      <c r="AC61" s="56" t="n">
        <f aca="false">IF(ISNUMBER(AB61),IF(L61&gt;0,AB61/L61,0),"")</f>
        <v>0.0809440000000001</v>
      </c>
      <c r="AD61" s="55" t="n">
        <f aca="false">IF(ISNUMBER(AB61),AB61+V61,"")</f>
        <v>19.1371377777778</v>
      </c>
      <c r="AE61" s="58" t="n">
        <f aca="false">IF(ISNUMBER(AD61),IF(AD61&gt;0,I61/AD61,"never"),"")</f>
        <v>3.12481420651318</v>
      </c>
    </row>
    <row r="62" customFormat="false" ht="15" hidden="false" customHeight="false" outlineLevel="0" collapsed="false">
      <c r="A62" s="53" t="str">
        <f aca="false">Countries!$A$25</f>
        <v>Luxembourg</v>
      </c>
      <c r="B62" s="54" t="n">
        <v>3</v>
      </c>
      <c r="C62" s="53" t="str">
        <f aca="false">'Product &amp; Offers'!$B$16</f>
        <v>Buy 1 Get 1 Free</v>
      </c>
      <c r="D62" s="53" t="str">
        <f aca="false">Countries!$B$25</f>
        <v>PostNL</v>
      </c>
      <c r="E62" s="54" t="n">
        <f aca="false">'Product &amp; Offers'!$C$16+'Product &amp; Offers'!$D$16</f>
        <v>2</v>
      </c>
      <c r="F62" s="55" t="n">
        <f aca="false">N(Countries!$C$25)</f>
        <v>29.9</v>
      </c>
      <c r="G62" s="55" t="n">
        <f aca="false">'Product &amp; Offers'!$C$16*F62</f>
        <v>29.9</v>
      </c>
      <c r="H62" s="55" t="n">
        <f aca="false">IF(AND(ISNUMBER(Countries!$E$25),G62&gt;=Countries!$E$25),0,N(Countries!$D$25))</f>
        <v>4.99</v>
      </c>
      <c r="I62" s="55" t="n">
        <f aca="false">G62+H62</f>
        <v>34.89</v>
      </c>
      <c r="J62" s="56" t="n">
        <f aca="false">IF(VAT_On_Sales="Yes",IFERROR(INDEX(VAT_Rate,MATCH(A62,VAT_Country,0)),0),0)</f>
        <v>0.17</v>
      </c>
      <c r="K62" s="55" t="n">
        <f aca="false">I62-I62/(1+J62)</f>
        <v>5.06948717948718</v>
      </c>
      <c r="L62" s="55" t="n">
        <f aca="false">I62-K62</f>
        <v>29.8205128205128</v>
      </c>
      <c r="M62" s="55" t="n">
        <f aca="false">E62*P_Landed</f>
        <v>10.76</v>
      </c>
      <c r="N62" s="57" t="n">
        <f aca="false">E62*P_Weight+P_PackW</f>
        <v>0.55</v>
      </c>
      <c r="O62" s="54" t="n">
        <f aca="false">IFERROR(MATCH(1,INDEX((Dest_Country=A62)*(Dest_Courier=D62),0),0),0)</f>
        <v>32</v>
      </c>
      <c r="P62" s="55" t="n">
        <f aca="false">IF(O62=0,0,IFERROR(INDEX(Rate_Table,O62,COUNTIF(Rate_Weights,"&lt;"&amp;N62)+1),0))</f>
        <v>6.8625</v>
      </c>
      <c r="Q62" s="55" t="n">
        <f aca="false">IF(P62&gt;0,P62*(1+INDEX(Dest_Fuel,O62))+INDEX(Dest_SMS,O62),0)</f>
        <v>6.8625</v>
      </c>
      <c r="R62" s="55" t="n">
        <f aca="false">IF(E62&gt;0,FF_Base+FF_Extra_Item*MAX(0,E62-2)+FF_Extra_5kg*ROUNDUP(MAX(0,N62-5)/5,0),0)</f>
        <v>0.65</v>
      </c>
      <c r="S62" s="55" t="n">
        <f aca="false">'Product &amp; Offers'!$E$16</f>
        <v>0.08</v>
      </c>
      <c r="T62" s="55" t="n">
        <f aca="false">I62*Stripe_Pct+Stripe_Fixed</f>
        <v>2.14406</v>
      </c>
      <c r="U62" s="55" t="n">
        <f aca="false">(Q62+R62+S62)*(FF_VAT_Mult-1)</f>
        <v>1.5185</v>
      </c>
      <c r="V62" s="55" t="n">
        <f aca="false">N(Countries!$F$25)</f>
        <v>15</v>
      </c>
      <c r="W62" s="55" t="n">
        <f aca="false">Fixed_Per_Order</f>
        <v>1.5844</v>
      </c>
      <c r="X62" s="56" t="n">
        <f aca="false">N(Countries!$G$25)</f>
        <v>0.03</v>
      </c>
      <c r="Y62" s="55" t="n">
        <f aca="false">X62*(L62-M62*P_Resell+(IF(Card_Ret_Label="Yes",Q62,0)+FF_Reverse)*FF_VAT_Mult)</f>
        <v>0.659775384615385</v>
      </c>
      <c r="Z62" s="55" t="n">
        <f aca="false">M62+Q62+R62+S62+T62+U62+V62+W62+Y62</f>
        <v>39.2592353846154</v>
      </c>
      <c r="AA62" s="53" t="str">
        <f aca="false">IF(E62=0,"",IF(NOT(ISNUMBER(Countries!$C$25)),"enter price",IF(O62=0,"pick courier",IF(P62=0,"too heavy","OK"))))</f>
        <v>OK</v>
      </c>
      <c r="AB62" s="55" t="n">
        <f aca="false">IF(AA62="OK",L62-Z62,"")</f>
        <v>-9.43872256410256</v>
      </c>
      <c r="AC62" s="56" t="n">
        <f aca="false">IF(ISNUMBER(AB62),IF(L62&gt;0,AB62/L62,0),"")</f>
        <v>-0.316517781599312</v>
      </c>
      <c r="AD62" s="55" t="n">
        <f aca="false">IF(ISNUMBER(AB62),AB62+V62,"")</f>
        <v>5.56127743589744</v>
      </c>
      <c r="AE62" s="58" t="n">
        <f aca="false">IF(ISNUMBER(AD62),IF(AD62&gt;0,I62/AD62,"never"),"")</f>
        <v>6.27373843548765</v>
      </c>
    </row>
    <row r="63" customFormat="false" ht="15" hidden="false" customHeight="false" outlineLevel="0" collapsed="false">
      <c r="A63" s="53" t="str">
        <f aca="false">Countries!$A$26</f>
        <v>Sweden</v>
      </c>
      <c r="B63" s="54" t="n">
        <v>1</v>
      </c>
      <c r="C63" s="53" t="str">
        <f aca="false">'Product &amp; Offers'!$B$14</f>
        <v>Buy 1</v>
      </c>
      <c r="D63" s="53" t="str">
        <f aca="false">Countries!$B$26</f>
        <v>PostNord</v>
      </c>
      <c r="E63" s="54" t="n">
        <f aca="false">'Product &amp; Offers'!$C$14+'Product &amp; Offers'!$D$14</f>
        <v>1</v>
      </c>
      <c r="F63" s="55" t="n">
        <f aca="false">N(Countries!$C$26)</f>
        <v>29.9</v>
      </c>
      <c r="G63" s="55" t="n">
        <f aca="false">'Product &amp; Offers'!$C$14*F63</f>
        <v>29.9</v>
      </c>
      <c r="H63" s="55" t="n">
        <f aca="false">IF(AND(ISNUMBER(Countries!$E$26),G63&gt;=Countries!$E$26),0,N(Countries!$D$26))</f>
        <v>4.99</v>
      </c>
      <c r="I63" s="55" t="n">
        <f aca="false">G63+H63</f>
        <v>34.89</v>
      </c>
      <c r="J63" s="56" t="n">
        <f aca="false">IF(VAT_On_Sales="Yes",IFERROR(INDEX(VAT_Rate,MATCH(A63,VAT_Country,0)),0),0)</f>
        <v>0.25</v>
      </c>
      <c r="K63" s="55" t="n">
        <f aca="false">I63-I63/(1+J63)</f>
        <v>6.978</v>
      </c>
      <c r="L63" s="55" t="n">
        <f aca="false">I63-K63</f>
        <v>27.912</v>
      </c>
      <c r="M63" s="55" t="n">
        <f aca="false">E63*P_Landed</f>
        <v>5.38</v>
      </c>
      <c r="N63" s="57" t="n">
        <f aca="false">E63*P_Weight+P_PackW</f>
        <v>0.3</v>
      </c>
      <c r="O63" s="54" t="n">
        <f aca="false">IFERROR(MATCH(1,INDEX((Dest_Country=A63)*(Dest_Courier=D63),0),0),0)</f>
        <v>33</v>
      </c>
      <c r="P63" s="55" t="n">
        <f aca="false">IF(O63=0,0,IFERROR(INDEX(Rate_Table,O63,COUNTIF(Rate_Weights,"&lt;"&amp;N63)+1),0))</f>
        <v>6.9</v>
      </c>
      <c r="Q63" s="55" t="n">
        <f aca="false">IF(P63&gt;0,P63*(1+INDEX(Dest_Fuel,O63))+INDEX(Dest_SMS,O63),0)</f>
        <v>6.9</v>
      </c>
      <c r="R63" s="55" t="n">
        <f aca="false">IF(E63&gt;0,FF_Base+FF_Extra_Item*MAX(0,E63-2)+FF_Extra_5kg*ROUNDUP(MAX(0,N63-5)/5,0),0)</f>
        <v>0.65</v>
      </c>
      <c r="S63" s="55" t="n">
        <f aca="false">'Product &amp; Offers'!$E$14</f>
        <v>0.08</v>
      </c>
      <c r="T63" s="55" t="n">
        <f aca="false">I63*Stripe_Pct+Stripe_Fixed</f>
        <v>2.14406</v>
      </c>
      <c r="U63" s="55" t="n">
        <f aca="false">(Q63+R63+S63)*(FF_VAT_Mult-1)</f>
        <v>1.526</v>
      </c>
      <c r="V63" s="55" t="n">
        <f aca="false">N(Countries!$F$26)</f>
        <v>15</v>
      </c>
      <c r="W63" s="55" t="n">
        <f aca="false">Fixed_Per_Order</f>
        <v>1.5844</v>
      </c>
      <c r="X63" s="56" t="n">
        <f aca="false">N(Countries!$G$26)</f>
        <v>0.03</v>
      </c>
      <c r="Y63" s="55" t="n">
        <f aca="false">X63*(L63-M63*P_Resell+(IF(Card_Ret_Label="Yes",Q63,0)+FF_Reverse)*FF_VAT_Mult)</f>
        <v>0.73164</v>
      </c>
      <c r="Z63" s="55" t="n">
        <f aca="false">M63+Q63+R63+S63+T63+U63+V63+W63+Y63</f>
        <v>33.9961</v>
      </c>
      <c r="AA63" s="53" t="str">
        <f aca="false">IF(E63=0,"",IF(NOT(ISNUMBER(Countries!$C$26)),"enter price",IF(O63=0,"pick courier",IF(P63=0,"too heavy","OK"))))</f>
        <v>OK</v>
      </c>
      <c r="AB63" s="55" t="n">
        <f aca="false">IF(AA63="OK",L63-Z63,"")</f>
        <v>-6.0841</v>
      </c>
      <c r="AC63" s="56" t="n">
        <f aca="false">IF(ISNUMBER(AB63),IF(L63&gt;0,AB63/L63,0),"")</f>
        <v>-0.217974347950702</v>
      </c>
      <c r="AD63" s="55" t="n">
        <f aca="false">IF(ISNUMBER(AB63),AB63+V63,"")</f>
        <v>8.9159</v>
      </c>
      <c r="AE63" s="58" t="n">
        <f aca="false">IF(ISNUMBER(AD63),IF(AD63&gt;0,I63/AD63,"never"),"")</f>
        <v>3.91323366121199</v>
      </c>
    </row>
    <row r="64" customFormat="false" ht="15" hidden="false" customHeight="false" outlineLevel="0" collapsed="false">
      <c r="A64" s="53" t="str">
        <f aca="false">Countries!$A$26</f>
        <v>Sweden</v>
      </c>
      <c r="B64" s="54" t="n">
        <v>2</v>
      </c>
      <c r="C64" s="53" t="str">
        <f aca="false">'Product &amp; Offers'!$B$15</f>
        <v>Buy 2 Get 1 Free</v>
      </c>
      <c r="D64" s="53" t="str">
        <f aca="false">Countries!$B$26</f>
        <v>PostNord</v>
      </c>
      <c r="E64" s="54" t="n">
        <f aca="false">'Product &amp; Offers'!$C$15+'Product &amp; Offers'!$D$15</f>
        <v>3</v>
      </c>
      <c r="F64" s="55" t="n">
        <f aca="false">N(Countries!$C$26)</f>
        <v>29.9</v>
      </c>
      <c r="G64" s="55" t="n">
        <f aca="false">'Product &amp; Offers'!$C$15*F64</f>
        <v>59.8</v>
      </c>
      <c r="H64" s="55" t="n">
        <f aca="false">IF(AND(ISNUMBER(Countries!$E$26),G64&gt;=Countries!$E$26),0,N(Countries!$D$26))</f>
        <v>0</v>
      </c>
      <c r="I64" s="55" t="n">
        <f aca="false">G64+H64</f>
        <v>59.8</v>
      </c>
      <c r="J64" s="56" t="n">
        <f aca="false">IF(VAT_On_Sales="Yes",IFERROR(INDEX(VAT_Rate,MATCH(A64,VAT_Country,0)),0),0)</f>
        <v>0.25</v>
      </c>
      <c r="K64" s="55" t="n">
        <f aca="false">I64-I64/(1+J64)</f>
        <v>11.96</v>
      </c>
      <c r="L64" s="55" t="n">
        <f aca="false">I64-K64</f>
        <v>47.84</v>
      </c>
      <c r="M64" s="55" t="n">
        <f aca="false">E64*P_Landed</f>
        <v>16.14</v>
      </c>
      <c r="N64" s="57" t="n">
        <f aca="false">E64*P_Weight+P_PackW</f>
        <v>0.8</v>
      </c>
      <c r="O64" s="54" t="n">
        <f aca="false">IFERROR(MATCH(1,INDEX((Dest_Country=A64)*(Dest_Courier=D64),0),0),0)</f>
        <v>33</v>
      </c>
      <c r="P64" s="55" t="n">
        <f aca="false">IF(O64=0,0,IFERROR(INDEX(Rate_Table,O64,COUNTIF(Rate_Weights,"&lt;"&amp;N64)+1),0))</f>
        <v>9.1125</v>
      </c>
      <c r="Q64" s="55" t="n">
        <f aca="false">IF(P64&gt;0,P64*(1+INDEX(Dest_Fuel,O64))+INDEX(Dest_SMS,O64),0)</f>
        <v>9.1125</v>
      </c>
      <c r="R64" s="55" t="n">
        <f aca="false">IF(E64&gt;0,FF_Base+FF_Extra_Item*MAX(0,E64-2)+FF_Extra_5kg*ROUNDUP(MAX(0,N64-5)/5,0),0)</f>
        <v>1</v>
      </c>
      <c r="S64" s="55" t="n">
        <f aca="false">'Product &amp; Offers'!$E$15</f>
        <v>0.13</v>
      </c>
      <c r="T64" s="55" t="n">
        <f aca="false">I64*Stripe_Pct+Stripe_Fixed</f>
        <v>3.4892</v>
      </c>
      <c r="U64" s="55" t="n">
        <f aca="false">(Q64+R64+S64)*(FF_VAT_Mult-1)</f>
        <v>2.0485</v>
      </c>
      <c r="V64" s="55" t="n">
        <f aca="false">N(Countries!$F$26)</f>
        <v>15</v>
      </c>
      <c r="W64" s="55" t="n">
        <f aca="false">Fixed_Per_Order</f>
        <v>1.5844</v>
      </c>
      <c r="X64" s="56" t="n">
        <f aca="false">N(Countries!$G$26)</f>
        <v>0.03</v>
      </c>
      <c r="Y64" s="55" t="n">
        <f aca="false">X64*(L64-M64*P_Resell+(IF(Card_Ret_Label="Yes",Q64,0)+FF_Reverse)*FF_VAT_Mult)</f>
        <v>1.07124</v>
      </c>
      <c r="Z64" s="55" t="n">
        <f aca="false">M64+Q64+R64+S64+T64+U64+V64+W64+Y64</f>
        <v>49.57584</v>
      </c>
      <c r="AA64" s="53" t="str">
        <f aca="false">IF(E64=0,"",IF(NOT(ISNUMBER(Countries!$C$26)),"enter price",IF(O64=0,"pick courier",IF(P64=0,"too heavy","OK"))))</f>
        <v>OK</v>
      </c>
      <c r="AB64" s="55" t="n">
        <f aca="false">IF(AA64="OK",L64-Z64,"")</f>
        <v>-1.73584</v>
      </c>
      <c r="AC64" s="56" t="n">
        <f aca="false">IF(ISNUMBER(AB64),IF(L64&gt;0,AB64/L64,0),"")</f>
        <v>-0.0362842809364549</v>
      </c>
      <c r="AD64" s="55" t="n">
        <f aca="false">IF(ISNUMBER(AB64),AB64+V64,"")</f>
        <v>13.26416</v>
      </c>
      <c r="AE64" s="58" t="n">
        <f aca="false">IF(ISNUMBER(AD64),IF(AD64&gt;0,I64/AD64,"never"),"")</f>
        <v>4.50838952485495</v>
      </c>
    </row>
    <row r="65" customFormat="false" ht="15" hidden="false" customHeight="false" outlineLevel="0" collapsed="false">
      <c r="A65" s="53" t="str">
        <f aca="false">Countries!$A$26</f>
        <v>Sweden</v>
      </c>
      <c r="B65" s="54" t="n">
        <v>3</v>
      </c>
      <c r="C65" s="53" t="str">
        <f aca="false">'Product &amp; Offers'!$B$16</f>
        <v>Buy 1 Get 1 Free</v>
      </c>
      <c r="D65" s="53" t="str">
        <f aca="false">Countries!$B$26</f>
        <v>PostNord</v>
      </c>
      <c r="E65" s="54" t="n">
        <f aca="false">'Product &amp; Offers'!$C$16+'Product &amp; Offers'!$D$16</f>
        <v>2</v>
      </c>
      <c r="F65" s="55" t="n">
        <f aca="false">N(Countries!$C$26)</f>
        <v>29.9</v>
      </c>
      <c r="G65" s="55" t="n">
        <f aca="false">'Product &amp; Offers'!$C$16*F65</f>
        <v>29.9</v>
      </c>
      <c r="H65" s="55" t="n">
        <f aca="false">IF(AND(ISNUMBER(Countries!$E$26),G65&gt;=Countries!$E$26),0,N(Countries!$D$26))</f>
        <v>4.99</v>
      </c>
      <c r="I65" s="55" t="n">
        <f aca="false">G65+H65</f>
        <v>34.89</v>
      </c>
      <c r="J65" s="56" t="n">
        <f aca="false">IF(VAT_On_Sales="Yes",IFERROR(INDEX(VAT_Rate,MATCH(A65,VAT_Country,0)),0),0)</f>
        <v>0.25</v>
      </c>
      <c r="K65" s="55" t="n">
        <f aca="false">I65-I65/(1+J65)</f>
        <v>6.978</v>
      </c>
      <c r="L65" s="55" t="n">
        <f aca="false">I65-K65</f>
        <v>27.912</v>
      </c>
      <c r="M65" s="55" t="n">
        <f aca="false">E65*P_Landed</f>
        <v>10.76</v>
      </c>
      <c r="N65" s="57" t="n">
        <f aca="false">E65*P_Weight+P_PackW</f>
        <v>0.55</v>
      </c>
      <c r="O65" s="54" t="n">
        <f aca="false">IFERROR(MATCH(1,INDEX((Dest_Country=A65)*(Dest_Courier=D65),0),0),0)</f>
        <v>33</v>
      </c>
      <c r="P65" s="55" t="n">
        <f aca="false">IF(O65=0,0,IFERROR(INDEX(Rate_Table,O65,COUNTIF(Rate_Weights,"&lt;"&amp;N65)+1),0))</f>
        <v>9.1125</v>
      </c>
      <c r="Q65" s="55" t="n">
        <f aca="false">IF(P65&gt;0,P65*(1+INDEX(Dest_Fuel,O65))+INDEX(Dest_SMS,O65),0)</f>
        <v>9.1125</v>
      </c>
      <c r="R65" s="55" t="n">
        <f aca="false">IF(E65&gt;0,FF_Base+FF_Extra_Item*MAX(0,E65-2)+FF_Extra_5kg*ROUNDUP(MAX(0,N65-5)/5,0),0)</f>
        <v>0.65</v>
      </c>
      <c r="S65" s="55" t="n">
        <f aca="false">'Product &amp; Offers'!$E$16</f>
        <v>0.08</v>
      </c>
      <c r="T65" s="55" t="n">
        <f aca="false">I65*Stripe_Pct+Stripe_Fixed</f>
        <v>2.14406</v>
      </c>
      <c r="U65" s="55" t="n">
        <f aca="false">(Q65+R65+S65)*(FF_VAT_Mult-1)</f>
        <v>1.9685</v>
      </c>
      <c r="V65" s="55" t="n">
        <f aca="false">N(Countries!$F$26)</f>
        <v>15</v>
      </c>
      <c r="W65" s="55" t="n">
        <f aca="false">Fixed_Per_Order</f>
        <v>1.5844</v>
      </c>
      <c r="X65" s="56" t="n">
        <f aca="false">N(Countries!$G$26)</f>
        <v>0.03</v>
      </c>
      <c r="Y65" s="55" t="n">
        <f aca="false">X65*(L65-M65*P_Resell+(IF(Card_Ret_Label="Yes",Q65,0)+FF_Reverse)*FF_VAT_Mult)</f>
        <v>0.60252</v>
      </c>
      <c r="Z65" s="55" t="n">
        <f aca="false">M65+Q65+R65+S65+T65+U65+V65+W65+Y65</f>
        <v>41.90198</v>
      </c>
      <c r="AA65" s="53" t="str">
        <f aca="false">IF(E65=0,"",IF(NOT(ISNUMBER(Countries!$C$26)),"enter price",IF(O65=0,"pick courier",IF(P65=0,"too heavy","OK"))))</f>
        <v>OK</v>
      </c>
      <c r="AB65" s="55" t="n">
        <f aca="false">IF(AA65="OK",L65-Z65,"")</f>
        <v>-13.98998</v>
      </c>
      <c r="AC65" s="56" t="n">
        <f aca="false">IF(ISNUMBER(AB65),IF(L65&gt;0,AB65/L65,0),"")</f>
        <v>-0.50121739753511</v>
      </c>
      <c r="AD65" s="55" t="n">
        <f aca="false">IF(ISNUMBER(AB65),AB65+V65,"")</f>
        <v>1.01002</v>
      </c>
      <c r="AE65" s="58" t="n">
        <f aca="false">IF(ISNUMBER(AD65),IF(AD65&gt;0,I65/AD65,"never"),"")</f>
        <v>34.5438704184074</v>
      </c>
    </row>
    <row r="66" customFormat="false" ht="15" hidden="false" customHeight="false" outlineLevel="0" collapsed="false">
      <c r="A66" s="53" t="str">
        <f aca="false">Countries!$A$27</f>
        <v>Finland</v>
      </c>
      <c r="B66" s="54" t="n">
        <v>1</v>
      </c>
      <c r="C66" s="53" t="str">
        <f aca="false">'Product &amp; Offers'!$B$14</f>
        <v>Buy 1</v>
      </c>
      <c r="D66" s="53" t="str">
        <f aca="false">Countries!$B$27</f>
        <v>Posti</v>
      </c>
      <c r="E66" s="54" t="n">
        <f aca="false">'Product &amp; Offers'!$C$14+'Product &amp; Offers'!$D$14</f>
        <v>1</v>
      </c>
      <c r="F66" s="55" t="n">
        <f aca="false">N(Countries!$C$27)</f>
        <v>29.9</v>
      </c>
      <c r="G66" s="55" t="n">
        <f aca="false">'Product &amp; Offers'!$C$14*F66</f>
        <v>29.9</v>
      </c>
      <c r="H66" s="55" t="n">
        <f aca="false">IF(AND(ISNUMBER(Countries!$E$27),G66&gt;=Countries!$E$27),0,N(Countries!$D$27))</f>
        <v>4.99</v>
      </c>
      <c r="I66" s="55" t="n">
        <f aca="false">G66+H66</f>
        <v>34.89</v>
      </c>
      <c r="J66" s="56" t="n">
        <f aca="false">IF(VAT_On_Sales="Yes",IFERROR(INDEX(VAT_Rate,MATCH(A66,VAT_Country,0)),0),0)</f>
        <v>0.255</v>
      </c>
      <c r="K66" s="55" t="n">
        <f aca="false">I66-I66/(1+J66)</f>
        <v>7.089203187251</v>
      </c>
      <c r="L66" s="55" t="n">
        <f aca="false">I66-K66</f>
        <v>27.800796812749</v>
      </c>
      <c r="M66" s="55" t="n">
        <f aca="false">E66*P_Landed</f>
        <v>5.38</v>
      </c>
      <c r="N66" s="57" t="n">
        <f aca="false">E66*P_Weight+P_PackW</f>
        <v>0.3</v>
      </c>
      <c r="O66" s="54" t="n">
        <f aca="false">IFERROR(MATCH(1,INDEX((Dest_Country=A66)*(Dest_Courier=D66),0),0),0)</f>
        <v>34</v>
      </c>
      <c r="P66" s="55" t="n">
        <f aca="false">IF(O66=0,0,IFERROR(INDEX(Rate_Table,O66,COUNTIF(Rate_Weights,"&lt;"&amp;N66)+1),0))</f>
        <v>13.275</v>
      </c>
      <c r="Q66" s="55" t="n">
        <f aca="false">IF(P66&gt;0,P66*(1+INDEX(Dest_Fuel,O66))+INDEX(Dest_SMS,O66),0)</f>
        <v>13.275</v>
      </c>
      <c r="R66" s="55" t="n">
        <f aca="false">IF(E66&gt;0,FF_Base+FF_Extra_Item*MAX(0,E66-2)+FF_Extra_5kg*ROUNDUP(MAX(0,N66-5)/5,0),0)</f>
        <v>0.65</v>
      </c>
      <c r="S66" s="55" t="n">
        <f aca="false">'Product &amp; Offers'!$E$14</f>
        <v>0.08</v>
      </c>
      <c r="T66" s="55" t="n">
        <f aca="false">I66*Stripe_Pct+Stripe_Fixed</f>
        <v>2.14406</v>
      </c>
      <c r="U66" s="55" t="n">
        <f aca="false">(Q66+R66+S66)*(FF_VAT_Mult-1)</f>
        <v>2.801</v>
      </c>
      <c r="V66" s="55" t="n">
        <f aca="false">N(Countries!$F$27)</f>
        <v>15</v>
      </c>
      <c r="W66" s="55" t="n">
        <f aca="false">Fixed_Per_Order</f>
        <v>1.5844</v>
      </c>
      <c r="X66" s="56" t="n">
        <f aca="false">N(Countries!$G$27)</f>
        <v>0.03</v>
      </c>
      <c r="Y66" s="55" t="n">
        <f aca="false">X66*(L66-M66*P_Resell+(IF(Card_Ret_Label="Yes",Q66,0)+FF_Reverse)*FF_VAT_Mult)</f>
        <v>0.72830390438247</v>
      </c>
      <c r="Z66" s="55" t="n">
        <f aca="false">M66+Q66+R66+S66+T66+U66+V66+W66+Y66</f>
        <v>41.6427639043825</v>
      </c>
      <c r="AA66" s="53" t="str">
        <f aca="false">IF(E66=0,"",IF(NOT(ISNUMBER(Countries!$C$27)),"enter price",IF(O66=0,"pick courier",IF(P66=0,"too heavy","OK"))))</f>
        <v>OK</v>
      </c>
      <c r="AB66" s="55" t="n">
        <f aca="false">IF(AA66="OK",L66-Z66,"")</f>
        <v>-13.8419670916335</v>
      </c>
      <c r="AC66" s="56" t="n">
        <f aca="false">IF(ISNUMBER(AB66),IF(L66&gt;0,AB66/L66,0),"")</f>
        <v>-0.497898214388077</v>
      </c>
      <c r="AD66" s="55" t="n">
        <f aca="false">IF(ISNUMBER(AB66),AB66+V66,"")</f>
        <v>1.15803290836654</v>
      </c>
      <c r="AE66" s="58" t="n">
        <f aca="false">IF(ISNUMBER(AD66),IF(AD66&gt;0,I66/AD66,"never"),"")</f>
        <v>30.1286774736083</v>
      </c>
    </row>
    <row r="67" customFormat="false" ht="15" hidden="false" customHeight="false" outlineLevel="0" collapsed="false">
      <c r="A67" s="53" t="str">
        <f aca="false">Countries!$A$27</f>
        <v>Finland</v>
      </c>
      <c r="B67" s="54" t="n">
        <v>2</v>
      </c>
      <c r="C67" s="53" t="str">
        <f aca="false">'Product &amp; Offers'!$B$15</f>
        <v>Buy 2 Get 1 Free</v>
      </c>
      <c r="D67" s="53" t="str">
        <f aca="false">Countries!$B$27</f>
        <v>Posti</v>
      </c>
      <c r="E67" s="54" t="n">
        <f aca="false">'Product &amp; Offers'!$C$15+'Product &amp; Offers'!$D$15</f>
        <v>3</v>
      </c>
      <c r="F67" s="55" t="n">
        <f aca="false">N(Countries!$C$27)</f>
        <v>29.9</v>
      </c>
      <c r="G67" s="55" t="n">
        <f aca="false">'Product &amp; Offers'!$C$15*F67</f>
        <v>59.8</v>
      </c>
      <c r="H67" s="55" t="n">
        <f aca="false">IF(AND(ISNUMBER(Countries!$E$27),G67&gt;=Countries!$E$27),0,N(Countries!$D$27))</f>
        <v>0</v>
      </c>
      <c r="I67" s="55" t="n">
        <f aca="false">G67+H67</f>
        <v>59.8</v>
      </c>
      <c r="J67" s="56" t="n">
        <f aca="false">IF(VAT_On_Sales="Yes",IFERROR(INDEX(VAT_Rate,MATCH(A67,VAT_Country,0)),0),0)</f>
        <v>0.255</v>
      </c>
      <c r="K67" s="55" t="n">
        <f aca="false">I67-I67/(1+J67)</f>
        <v>12.1505976095618</v>
      </c>
      <c r="L67" s="55" t="n">
        <f aca="false">I67-K67</f>
        <v>47.6494023904383</v>
      </c>
      <c r="M67" s="55" t="n">
        <f aca="false">E67*P_Landed</f>
        <v>16.14</v>
      </c>
      <c r="N67" s="57" t="n">
        <f aca="false">E67*P_Weight+P_PackW</f>
        <v>0.8</v>
      </c>
      <c r="O67" s="54" t="n">
        <f aca="false">IFERROR(MATCH(1,INDEX((Dest_Country=A67)*(Dest_Courier=D67),0),0),0)</f>
        <v>34</v>
      </c>
      <c r="P67" s="55" t="n">
        <f aca="false">IF(O67=0,0,IFERROR(INDEX(Rate_Table,O67,COUNTIF(Rate_Weights,"&lt;"&amp;N67)+1),0))</f>
        <v>13.8</v>
      </c>
      <c r="Q67" s="55" t="n">
        <f aca="false">IF(P67&gt;0,P67*(1+INDEX(Dest_Fuel,O67))+INDEX(Dest_SMS,O67),0)</f>
        <v>13.8</v>
      </c>
      <c r="R67" s="55" t="n">
        <f aca="false">IF(E67&gt;0,FF_Base+FF_Extra_Item*MAX(0,E67-2)+FF_Extra_5kg*ROUNDUP(MAX(0,N67-5)/5,0),0)</f>
        <v>1</v>
      </c>
      <c r="S67" s="55" t="n">
        <f aca="false">'Product &amp; Offers'!$E$15</f>
        <v>0.13</v>
      </c>
      <c r="T67" s="55" t="n">
        <f aca="false">I67*Stripe_Pct+Stripe_Fixed</f>
        <v>3.4892</v>
      </c>
      <c r="U67" s="55" t="n">
        <f aca="false">(Q67+R67+S67)*(FF_VAT_Mult-1)</f>
        <v>2.986</v>
      </c>
      <c r="V67" s="55" t="n">
        <f aca="false">N(Countries!$F$27)</f>
        <v>15</v>
      </c>
      <c r="W67" s="55" t="n">
        <f aca="false">Fixed_Per_Order</f>
        <v>1.5844</v>
      </c>
      <c r="X67" s="56" t="n">
        <f aca="false">N(Countries!$G$27)</f>
        <v>0.03</v>
      </c>
      <c r="Y67" s="55" t="n">
        <f aca="false">X67*(L67-M67*P_Resell+(IF(Card_Ret_Label="Yes",Q67,0)+FF_Reverse)*FF_VAT_Mult)</f>
        <v>1.06552207171315</v>
      </c>
      <c r="Z67" s="55" t="n">
        <f aca="false">M67+Q67+R67+S67+T67+U67+V67+W67+Y67</f>
        <v>55.1951220717131</v>
      </c>
      <c r="AA67" s="53" t="str">
        <f aca="false">IF(E67=0,"",IF(NOT(ISNUMBER(Countries!$C$27)),"enter price",IF(O67=0,"pick courier",IF(P67=0,"too heavy","OK"))))</f>
        <v>OK</v>
      </c>
      <c r="AB67" s="55" t="n">
        <f aca="false">IF(AA67="OK",L67-Z67,"")</f>
        <v>-7.5457196812749</v>
      </c>
      <c r="AC67" s="56" t="n">
        <f aca="false">IF(ISNUMBER(AB67),IF(L67&gt;0,AB67/L67,0),"")</f>
        <v>-0.15835916722408</v>
      </c>
      <c r="AD67" s="55" t="n">
        <f aca="false">IF(ISNUMBER(AB67),AB67+V67,"")</f>
        <v>7.4542803187251</v>
      </c>
      <c r="AE67" s="58" t="n">
        <f aca="false">IF(ISNUMBER(AD67),IF(AD67&gt;0,I67/AD67,"never"),"")</f>
        <v>8.02223654640178</v>
      </c>
    </row>
    <row r="68" customFormat="false" ht="15" hidden="false" customHeight="false" outlineLevel="0" collapsed="false">
      <c r="A68" s="53" t="str">
        <f aca="false">Countries!$A$27</f>
        <v>Finland</v>
      </c>
      <c r="B68" s="54" t="n">
        <v>3</v>
      </c>
      <c r="C68" s="53" t="str">
        <f aca="false">'Product &amp; Offers'!$B$16</f>
        <v>Buy 1 Get 1 Free</v>
      </c>
      <c r="D68" s="53" t="str">
        <f aca="false">Countries!$B$27</f>
        <v>Posti</v>
      </c>
      <c r="E68" s="54" t="n">
        <f aca="false">'Product &amp; Offers'!$C$16+'Product &amp; Offers'!$D$16</f>
        <v>2</v>
      </c>
      <c r="F68" s="55" t="n">
        <f aca="false">N(Countries!$C$27)</f>
        <v>29.9</v>
      </c>
      <c r="G68" s="55" t="n">
        <f aca="false">'Product &amp; Offers'!$C$16*F68</f>
        <v>29.9</v>
      </c>
      <c r="H68" s="55" t="n">
        <f aca="false">IF(AND(ISNUMBER(Countries!$E$27),G68&gt;=Countries!$E$27),0,N(Countries!$D$27))</f>
        <v>4.99</v>
      </c>
      <c r="I68" s="55" t="n">
        <f aca="false">G68+H68</f>
        <v>34.89</v>
      </c>
      <c r="J68" s="56" t="n">
        <f aca="false">IF(VAT_On_Sales="Yes",IFERROR(INDEX(VAT_Rate,MATCH(A68,VAT_Country,0)),0),0)</f>
        <v>0.255</v>
      </c>
      <c r="K68" s="55" t="n">
        <f aca="false">I68-I68/(1+J68)</f>
        <v>7.089203187251</v>
      </c>
      <c r="L68" s="55" t="n">
        <f aca="false">I68-K68</f>
        <v>27.800796812749</v>
      </c>
      <c r="M68" s="55" t="n">
        <f aca="false">E68*P_Landed</f>
        <v>10.76</v>
      </c>
      <c r="N68" s="57" t="n">
        <f aca="false">E68*P_Weight+P_PackW</f>
        <v>0.55</v>
      </c>
      <c r="O68" s="54" t="n">
        <f aca="false">IFERROR(MATCH(1,INDEX((Dest_Country=A68)*(Dest_Courier=D68),0),0),0)</f>
        <v>34</v>
      </c>
      <c r="P68" s="55" t="n">
        <f aca="false">IF(O68=0,0,IFERROR(INDEX(Rate_Table,O68,COUNTIF(Rate_Weights,"&lt;"&amp;N68)+1),0))</f>
        <v>13.8</v>
      </c>
      <c r="Q68" s="55" t="n">
        <f aca="false">IF(P68&gt;0,P68*(1+INDEX(Dest_Fuel,O68))+INDEX(Dest_SMS,O68),0)</f>
        <v>13.8</v>
      </c>
      <c r="R68" s="55" t="n">
        <f aca="false">IF(E68&gt;0,FF_Base+FF_Extra_Item*MAX(0,E68-2)+FF_Extra_5kg*ROUNDUP(MAX(0,N68-5)/5,0),0)</f>
        <v>0.65</v>
      </c>
      <c r="S68" s="55" t="n">
        <f aca="false">'Product &amp; Offers'!$E$16</f>
        <v>0.08</v>
      </c>
      <c r="T68" s="55" t="n">
        <f aca="false">I68*Stripe_Pct+Stripe_Fixed</f>
        <v>2.14406</v>
      </c>
      <c r="U68" s="55" t="n">
        <f aca="false">(Q68+R68+S68)*(FF_VAT_Mult-1)</f>
        <v>2.906</v>
      </c>
      <c r="V68" s="55" t="n">
        <f aca="false">N(Countries!$F$27)</f>
        <v>15</v>
      </c>
      <c r="W68" s="55" t="n">
        <f aca="false">Fixed_Per_Order</f>
        <v>1.5844</v>
      </c>
      <c r="X68" s="56" t="n">
        <f aca="false">N(Countries!$G$27)</f>
        <v>0.03</v>
      </c>
      <c r="Y68" s="55" t="n">
        <f aca="false">X68*(L68-M68*P_Resell+(IF(Card_Ret_Label="Yes",Q68,0)+FF_Reverse)*FF_VAT_Mult)</f>
        <v>0.59918390438247</v>
      </c>
      <c r="Z68" s="55" t="n">
        <f aca="false">M68+Q68+R68+S68+T68+U68+V68+W68+Y68</f>
        <v>47.5236439043825</v>
      </c>
      <c r="AA68" s="53" t="str">
        <f aca="false">IF(E68=0,"",IF(NOT(ISNUMBER(Countries!$C$27)),"enter price",IF(O68=0,"pick courier",IF(P68=0,"too heavy","OK"))))</f>
        <v>OK</v>
      </c>
      <c r="AB68" s="55" t="n">
        <f aca="false">IF(AA68="OK",L68-Z68,"")</f>
        <v>-19.7228470916335</v>
      </c>
      <c r="AC68" s="56" t="n">
        <f aca="false">IF(ISNUMBER(AB68),IF(L68&gt;0,AB68/L68,0),"")</f>
        <v>-0.709434597305818</v>
      </c>
      <c r="AD68" s="55" t="n">
        <f aca="false">IF(ISNUMBER(AB68),AB68+V68,"")</f>
        <v>-4.72284709163346</v>
      </c>
      <c r="AE68" s="58" t="str">
        <f aca="false">IF(ISNUMBER(AD68),IF(AD68&gt;0,I68/AD68,"never"),"")</f>
        <v>never</v>
      </c>
    </row>
    <row r="69" customFormat="false" ht="15" hidden="false" customHeight="false" outlineLevel="0" collapsed="false">
      <c r="A69" s="53" t="str">
        <f aca="false">Countries!$A$28</f>
        <v>France</v>
      </c>
      <c r="B69" s="54" t="n">
        <v>1</v>
      </c>
      <c r="C69" s="53" t="str">
        <f aca="false">'Product &amp; Offers'!$B$14</f>
        <v>Buy 1</v>
      </c>
      <c r="D69" s="53" t="str">
        <f aca="false">Countries!$B$28</f>
        <v>ColisPrive</v>
      </c>
      <c r="E69" s="54" t="n">
        <f aca="false">'Product &amp; Offers'!$C$14+'Product &amp; Offers'!$D$14</f>
        <v>1</v>
      </c>
      <c r="F69" s="55" t="n">
        <f aca="false">N(Countries!$C$28)</f>
        <v>29.9</v>
      </c>
      <c r="G69" s="55" t="n">
        <f aca="false">'Product &amp; Offers'!$C$14*F69</f>
        <v>29.9</v>
      </c>
      <c r="H69" s="55" t="n">
        <f aca="false">IF(AND(ISNUMBER(Countries!$E$28),G69&gt;=Countries!$E$28),0,N(Countries!$D$28))</f>
        <v>4.99</v>
      </c>
      <c r="I69" s="55" t="n">
        <f aca="false">G69+H69</f>
        <v>34.89</v>
      </c>
      <c r="J69" s="56" t="n">
        <f aca="false">IF(VAT_On_Sales="Yes",IFERROR(INDEX(VAT_Rate,MATCH(A69,VAT_Country,0)),0),0)</f>
        <v>0.2</v>
      </c>
      <c r="K69" s="55" t="n">
        <f aca="false">I69-I69/(1+J69)</f>
        <v>5.815</v>
      </c>
      <c r="L69" s="55" t="n">
        <f aca="false">I69-K69</f>
        <v>29.075</v>
      </c>
      <c r="M69" s="55" t="n">
        <f aca="false">E69*P_Landed</f>
        <v>5.38</v>
      </c>
      <c r="N69" s="57" t="n">
        <f aca="false">E69*P_Weight+P_PackW</f>
        <v>0.3</v>
      </c>
      <c r="O69" s="54" t="n">
        <f aca="false">IFERROR(MATCH(1,INDEX((Dest_Country=A69)*(Dest_Courier=D69),0),0),0)</f>
        <v>35</v>
      </c>
      <c r="P69" s="55" t="n">
        <f aca="false">IF(O69=0,0,IFERROR(INDEX(Rate_Table,O69,COUNTIF(Rate_Weights,"&lt;"&amp;N69)+1),0))</f>
        <v>7.9125</v>
      </c>
      <c r="Q69" s="55" t="n">
        <f aca="false">IF(P69&gt;0,P69*(1+INDEX(Dest_Fuel,O69))+INDEX(Dest_SMS,O69),0)</f>
        <v>7.9125</v>
      </c>
      <c r="R69" s="55" t="n">
        <f aca="false">IF(E69&gt;0,FF_Base+FF_Extra_Item*MAX(0,E69-2)+FF_Extra_5kg*ROUNDUP(MAX(0,N69-5)/5,0),0)</f>
        <v>0.65</v>
      </c>
      <c r="S69" s="55" t="n">
        <f aca="false">'Product &amp; Offers'!$E$14</f>
        <v>0.08</v>
      </c>
      <c r="T69" s="55" t="n">
        <f aca="false">I69*Stripe_Pct+Stripe_Fixed</f>
        <v>2.14406</v>
      </c>
      <c r="U69" s="55" t="n">
        <f aca="false">(Q69+R69+S69)*(FF_VAT_Mult-1)</f>
        <v>1.7285</v>
      </c>
      <c r="V69" s="55" t="n">
        <f aca="false">N(Countries!$F$28)</f>
        <v>15</v>
      </c>
      <c r="W69" s="55" t="n">
        <f aca="false">Fixed_Per_Order</f>
        <v>1.5844</v>
      </c>
      <c r="X69" s="56" t="n">
        <f aca="false">N(Countries!$G$28)</f>
        <v>0.03</v>
      </c>
      <c r="Y69" s="55" t="n">
        <f aca="false">X69*(L69-M69*P_Resell+(IF(Card_Ret_Label="Yes",Q69,0)+FF_Reverse)*FF_VAT_Mult)</f>
        <v>0.76653</v>
      </c>
      <c r="Z69" s="55" t="n">
        <f aca="false">M69+Q69+R69+S69+T69+U69+V69+W69+Y69</f>
        <v>35.24599</v>
      </c>
      <c r="AA69" s="53" t="str">
        <f aca="false">IF(E69=0,"",IF(NOT(ISNUMBER(Countries!$C$28)),"enter price",IF(O69=0,"pick courier",IF(P69=0,"too heavy","OK"))))</f>
        <v>OK</v>
      </c>
      <c r="AB69" s="55" t="n">
        <f aca="false">IF(AA69="OK",L69-Z69,"")</f>
        <v>-6.17099</v>
      </c>
      <c r="AC69" s="56" t="n">
        <f aca="false">IF(ISNUMBER(AB69),IF(L69&gt;0,AB69/L69,0),"")</f>
        <v>-0.212243852106621</v>
      </c>
      <c r="AD69" s="55" t="n">
        <f aca="false">IF(ISNUMBER(AB69),AB69+V69,"")</f>
        <v>8.82901</v>
      </c>
      <c r="AE69" s="58" t="n">
        <f aca="false">IF(ISNUMBER(AD69),IF(AD69&gt;0,I69/AD69,"never"),"")</f>
        <v>3.95174543918288</v>
      </c>
    </row>
    <row r="70" customFormat="false" ht="15" hidden="false" customHeight="false" outlineLevel="0" collapsed="false">
      <c r="A70" s="53" t="str">
        <f aca="false">Countries!$A$28</f>
        <v>France</v>
      </c>
      <c r="B70" s="54" t="n">
        <v>2</v>
      </c>
      <c r="C70" s="53" t="str">
        <f aca="false">'Product &amp; Offers'!$B$15</f>
        <v>Buy 2 Get 1 Free</v>
      </c>
      <c r="D70" s="53" t="str">
        <f aca="false">Countries!$B$28</f>
        <v>ColisPrive</v>
      </c>
      <c r="E70" s="54" t="n">
        <f aca="false">'Product &amp; Offers'!$C$15+'Product &amp; Offers'!$D$15</f>
        <v>3</v>
      </c>
      <c r="F70" s="55" t="n">
        <f aca="false">N(Countries!$C$28)</f>
        <v>29.9</v>
      </c>
      <c r="G70" s="55" t="n">
        <f aca="false">'Product &amp; Offers'!$C$15*F70</f>
        <v>59.8</v>
      </c>
      <c r="H70" s="55" t="n">
        <f aca="false">IF(AND(ISNUMBER(Countries!$E$28),G70&gt;=Countries!$E$28),0,N(Countries!$D$28))</f>
        <v>0</v>
      </c>
      <c r="I70" s="55" t="n">
        <f aca="false">G70+H70</f>
        <v>59.8</v>
      </c>
      <c r="J70" s="56" t="n">
        <f aca="false">IF(VAT_On_Sales="Yes",IFERROR(INDEX(VAT_Rate,MATCH(A70,VAT_Country,0)),0),0)</f>
        <v>0.2</v>
      </c>
      <c r="K70" s="55" t="n">
        <f aca="false">I70-I70/(1+J70)</f>
        <v>9.96666666666666</v>
      </c>
      <c r="L70" s="55" t="n">
        <f aca="false">I70-K70</f>
        <v>49.8333333333333</v>
      </c>
      <c r="M70" s="55" t="n">
        <f aca="false">E70*P_Landed</f>
        <v>16.14</v>
      </c>
      <c r="N70" s="57" t="n">
        <f aca="false">E70*P_Weight+P_PackW</f>
        <v>0.8</v>
      </c>
      <c r="O70" s="54" t="n">
        <f aca="false">IFERROR(MATCH(1,INDEX((Dest_Country=A70)*(Dest_Courier=D70),0),0),0)</f>
        <v>35</v>
      </c>
      <c r="P70" s="55" t="n">
        <f aca="false">IF(O70=0,0,IFERROR(INDEX(Rate_Table,O70,COUNTIF(Rate_Weights,"&lt;"&amp;N70)+1),0))</f>
        <v>9.1625</v>
      </c>
      <c r="Q70" s="55" t="n">
        <f aca="false">IF(P70&gt;0,P70*(1+INDEX(Dest_Fuel,O70))+INDEX(Dest_SMS,O70),0)</f>
        <v>9.1625</v>
      </c>
      <c r="R70" s="55" t="n">
        <f aca="false">IF(E70&gt;0,FF_Base+FF_Extra_Item*MAX(0,E70-2)+FF_Extra_5kg*ROUNDUP(MAX(0,N70-5)/5,0),0)</f>
        <v>1</v>
      </c>
      <c r="S70" s="55" t="n">
        <f aca="false">'Product &amp; Offers'!$E$15</f>
        <v>0.13</v>
      </c>
      <c r="T70" s="55" t="n">
        <f aca="false">I70*Stripe_Pct+Stripe_Fixed</f>
        <v>3.4892</v>
      </c>
      <c r="U70" s="55" t="n">
        <f aca="false">(Q70+R70+S70)*(FF_VAT_Mult-1)</f>
        <v>2.0585</v>
      </c>
      <c r="V70" s="55" t="n">
        <f aca="false">N(Countries!$F$28)</f>
        <v>15</v>
      </c>
      <c r="W70" s="55" t="n">
        <f aca="false">Fixed_Per_Order</f>
        <v>1.5844</v>
      </c>
      <c r="X70" s="56" t="n">
        <f aca="false">N(Countries!$G$28)</f>
        <v>0.03</v>
      </c>
      <c r="Y70" s="55" t="n">
        <f aca="false">X70*(L70-M70*P_Resell+(IF(Card_Ret_Label="Yes",Q70,0)+FF_Reverse)*FF_VAT_Mult)</f>
        <v>1.13104</v>
      </c>
      <c r="Z70" s="55" t="n">
        <f aca="false">M70+Q70+R70+S70+T70+U70+V70+W70+Y70</f>
        <v>49.69564</v>
      </c>
      <c r="AA70" s="53" t="str">
        <f aca="false">IF(E70=0,"",IF(NOT(ISNUMBER(Countries!$C$28)),"enter price",IF(O70=0,"pick courier",IF(P70=0,"too heavy","OK"))))</f>
        <v>OK</v>
      </c>
      <c r="AB70" s="55" t="n">
        <f aca="false">IF(AA70="OK",L70-Z70,"")</f>
        <v>0.137693333333338</v>
      </c>
      <c r="AC70" s="56" t="n">
        <f aca="false">IF(ISNUMBER(AB70),IF(L70&gt;0,AB70/L70,0),"")</f>
        <v>0.00276307692307702</v>
      </c>
      <c r="AD70" s="55" t="n">
        <f aca="false">IF(ISNUMBER(AB70),AB70+V70,"")</f>
        <v>15.1376933333333</v>
      </c>
      <c r="AE70" s="58" t="n">
        <f aca="false">IF(ISNUMBER(AD70),IF(AD70&gt;0,I70/AD70,"never"),"")</f>
        <v>3.95040371628614</v>
      </c>
    </row>
    <row r="71" customFormat="false" ht="15" hidden="false" customHeight="false" outlineLevel="0" collapsed="false">
      <c r="A71" s="53" t="str">
        <f aca="false">Countries!$A$28</f>
        <v>France</v>
      </c>
      <c r="B71" s="54" t="n">
        <v>3</v>
      </c>
      <c r="C71" s="53" t="str">
        <f aca="false">'Product &amp; Offers'!$B$16</f>
        <v>Buy 1 Get 1 Free</v>
      </c>
      <c r="D71" s="53" t="str">
        <f aca="false">Countries!$B$28</f>
        <v>ColisPrive</v>
      </c>
      <c r="E71" s="54" t="n">
        <f aca="false">'Product &amp; Offers'!$C$16+'Product &amp; Offers'!$D$16</f>
        <v>2</v>
      </c>
      <c r="F71" s="55" t="n">
        <f aca="false">N(Countries!$C$28)</f>
        <v>29.9</v>
      </c>
      <c r="G71" s="55" t="n">
        <f aca="false">'Product &amp; Offers'!$C$16*F71</f>
        <v>29.9</v>
      </c>
      <c r="H71" s="55" t="n">
        <f aca="false">IF(AND(ISNUMBER(Countries!$E$28),G71&gt;=Countries!$E$28),0,N(Countries!$D$28))</f>
        <v>4.99</v>
      </c>
      <c r="I71" s="55" t="n">
        <f aca="false">G71+H71</f>
        <v>34.89</v>
      </c>
      <c r="J71" s="56" t="n">
        <f aca="false">IF(VAT_On_Sales="Yes",IFERROR(INDEX(VAT_Rate,MATCH(A71,VAT_Country,0)),0),0)</f>
        <v>0.2</v>
      </c>
      <c r="K71" s="55" t="n">
        <f aca="false">I71-I71/(1+J71)</f>
        <v>5.815</v>
      </c>
      <c r="L71" s="55" t="n">
        <f aca="false">I71-K71</f>
        <v>29.075</v>
      </c>
      <c r="M71" s="55" t="n">
        <f aca="false">E71*P_Landed</f>
        <v>10.76</v>
      </c>
      <c r="N71" s="57" t="n">
        <f aca="false">E71*P_Weight+P_PackW</f>
        <v>0.55</v>
      </c>
      <c r="O71" s="54" t="n">
        <f aca="false">IFERROR(MATCH(1,INDEX((Dest_Country=A71)*(Dest_Courier=D71),0),0),0)</f>
        <v>35</v>
      </c>
      <c r="P71" s="55" t="n">
        <f aca="false">IF(O71=0,0,IFERROR(INDEX(Rate_Table,O71,COUNTIF(Rate_Weights,"&lt;"&amp;N71)+1),0))</f>
        <v>9.1625</v>
      </c>
      <c r="Q71" s="55" t="n">
        <f aca="false">IF(P71&gt;0,P71*(1+INDEX(Dest_Fuel,O71))+INDEX(Dest_SMS,O71),0)</f>
        <v>9.1625</v>
      </c>
      <c r="R71" s="55" t="n">
        <f aca="false">IF(E71&gt;0,FF_Base+FF_Extra_Item*MAX(0,E71-2)+FF_Extra_5kg*ROUNDUP(MAX(0,N71-5)/5,0),0)</f>
        <v>0.65</v>
      </c>
      <c r="S71" s="55" t="n">
        <f aca="false">'Product &amp; Offers'!$E$16</f>
        <v>0.08</v>
      </c>
      <c r="T71" s="55" t="n">
        <f aca="false">I71*Stripe_Pct+Stripe_Fixed</f>
        <v>2.14406</v>
      </c>
      <c r="U71" s="55" t="n">
        <f aca="false">(Q71+R71+S71)*(FF_VAT_Mult-1)</f>
        <v>1.9785</v>
      </c>
      <c r="V71" s="55" t="n">
        <f aca="false">N(Countries!$F$28)</f>
        <v>15</v>
      </c>
      <c r="W71" s="55" t="n">
        <f aca="false">Fixed_Per_Order</f>
        <v>1.5844</v>
      </c>
      <c r="X71" s="56" t="n">
        <f aca="false">N(Countries!$G$28)</f>
        <v>0.03</v>
      </c>
      <c r="Y71" s="55" t="n">
        <f aca="false">X71*(L71-M71*P_Resell+(IF(Card_Ret_Label="Yes",Q71,0)+FF_Reverse)*FF_VAT_Mult)</f>
        <v>0.63741</v>
      </c>
      <c r="Z71" s="55" t="n">
        <f aca="false">M71+Q71+R71+S71+T71+U71+V71+W71+Y71</f>
        <v>41.99687</v>
      </c>
      <c r="AA71" s="53" t="str">
        <f aca="false">IF(E71=0,"",IF(NOT(ISNUMBER(Countries!$C$28)),"enter price",IF(O71=0,"pick courier",IF(P71=0,"too heavy","OK"))))</f>
        <v>OK</v>
      </c>
      <c r="AB71" s="55" t="n">
        <f aca="false">IF(AA71="OK",L71-Z71,"")</f>
        <v>-12.92187</v>
      </c>
      <c r="AC71" s="56" t="n">
        <f aca="false">IF(ISNUMBER(AB71),IF(L71&gt;0,AB71/L71,0),"")</f>
        <v>-0.444432330180567</v>
      </c>
      <c r="AD71" s="55" t="n">
        <f aca="false">IF(ISNUMBER(AB71),AB71+V71,"")</f>
        <v>2.07813</v>
      </c>
      <c r="AE71" s="58" t="n">
        <f aca="false">IF(ISNUMBER(AD71),IF(AD71&gt;0,I71/AD71,"never"),"")</f>
        <v>16.7891325374255</v>
      </c>
    </row>
    <row r="72" customFormat="false" ht="15" hidden="false" customHeight="false" outlineLevel="0" collapsed="false">
      <c r="A72" s="53" t="str">
        <f aca="false">Countries!$A$29</f>
        <v>Malta</v>
      </c>
      <c r="B72" s="54" t="n">
        <v>1</v>
      </c>
      <c r="C72" s="53" t="str">
        <f aca="false">'Product &amp; Offers'!$B$14</f>
        <v>Buy 1</v>
      </c>
      <c r="D72" s="53" t="str">
        <f aca="false">Countries!$B$29</f>
        <v>Malta Post</v>
      </c>
      <c r="E72" s="54" t="n">
        <f aca="false">'Product &amp; Offers'!$C$14+'Product &amp; Offers'!$D$14</f>
        <v>1</v>
      </c>
      <c r="F72" s="55" t="n">
        <f aca="false">N(Countries!$C$29)</f>
        <v>29.9</v>
      </c>
      <c r="G72" s="55" t="n">
        <f aca="false">'Product &amp; Offers'!$C$14*F72</f>
        <v>29.9</v>
      </c>
      <c r="H72" s="55" t="n">
        <f aca="false">IF(AND(ISNUMBER(Countries!$E$29),G72&gt;=Countries!$E$29),0,N(Countries!$D$29))</f>
        <v>4.99</v>
      </c>
      <c r="I72" s="55" t="n">
        <f aca="false">G72+H72</f>
        <v>34.89</v>
      </c>
      <c r="J72" s="56" t="n">
        <f aca="false">IF(VAT_On_Sales="Yes",IFERROR(INDEX(VAT_Rate,MATCH(A72,VAT_Country,0)),0),0)</f>
        <v>0.18</v>
      </c>
      <c r="K72" s="55" t="n">
        <f aca="false">I72-I72/(1+J72)</f>
        <v>5.32220338983051</v>
      </c>
      <c r="L72" s="55" t="n">
        <f aca="false">I72-K72</f>
        <v>29.5677966101695</v>
      </c>
      <c r="M72" s="55" t="n">
        <f aca="false">E72*P_Landed</f>
        <v>5.38</v>
      </c>
      <c r="N72" s="57" t="n">
        <f aca="false">E72*P_Weight+P_PackW</f>
        <v>0.3</v>
      </c>
      <c r="O72" s="54" t="n">
        <f aca="false">IFERROR(MATCH(1,INDEX((Dest_Country=A72)*(Dest_Courier=D72),0),0),0)</f>
        <v>36</v>
      </c>
      <c r="P72" s="55" t="n">
        <f aca="false">IF(O72=0,0,IFERROR(INDEX(Rate_Table,O72,COUNTIF(Rate_Weights,"&lt;"&amp;N72)+1),0))</f>
        <v>9.45</v>
      </c>
      <c r="Q72" s="55" t="n">
        <f aca="false">IF(P72&gt;0,P72*(1+INDEX(Dest_Fuel,O72))+INDEX(Dest_SMS,O72),0)</f>
        <v>9.45</v>
      </c>
      <c r="R72" s="55" t="n">
        <f aca="false">IF(E72&gt;0,FF_Base+FF_Extra_Item*MAX(0,E72-2)+FF_Extra_5kg*ROUNDUP(MAX(0,N72-5)/5,0),0)</f>
        <v>0.65</v>
      </c>
      <c r="S72" s="55" t="n">
        <f aca="false">'Product &amp; Offers'!$E$14</f>
        <v>0.08</v>
      </c>
      <c r="T72" s="55" t="n">
        <f aca="false">I72*Stripe_Pct+Stripe_Fixed</f>
        <v>2.14406</v>
      </c>
      <c r="U72" s="55" t="n">
        <f aca="false">(Q72+R72+S72)*(FF_VAT_Mult-1)</f>
        <v>2.036</v>
      </c>
      <c r="V72" s="55" t="n">
        <f aca="false">N(Countries!$F$29)</f>
        <v>15</v>
      </c>
      <c r="W72" s="55" t="n">
        <f aca="false">Fixed_Per_Order</f>
        <v>1.5844</v>
      </c>
      <c r="X72" s="56" t="n">
        <f aca="false">N(Countries!$G$29)</f>
        <v>0.03</v>
      </c>
      <c r="Y72" s="55" t="n">
        <f aca="false">X72*(L72-M72*P_Resell+(IF(Card_Ret_Label="Yes",Q72,0)+FF_Reverse)*FF_VAT_Mult)</f>
        <v>0.781313898305085</v>
      </c>
      <c r="Z72" s="55" t="n">
        <f aca="false">M72+Q72+R72+S72+T72+U72+V72+W72+Y72</f>
        <v>37.1057738983051</v>
      </c>
      <c r="AA72" s="53" t="str">
        <f aca="false">IF(E72=0,"",IF(NOT(ISNUMBER(Countries!$C$29)),"enter price",IF(O72=0,"pick courier",IF(P72=0,"too heavy","OK"))))</f>
        <v>OK</v>
      </c>
      <c r="AB72" s="55" t="n">
        <f aca="false">IF(AA72="OK",L72-Z72,"")</f>
        <v>-7.53797728813559</v>
      </c>
      <c r="AC72" s="56" t="n">
        <f aca="false">IF(ISNUMBER(AB72),IF(L72&gt;0,AB72/L72,0),"")</f>
        <v>-0.25493875609057</v>
      </c>
      <c r="AD72" s="55" t="n">
        <f aca="false">IF(ISNUMBER(AB72),AB72+V72,"")</f>
        <v>7.46202271186441</v>
      </c>
      <c r="AE72" s="58" t="n">
        <f aca="false">IF(ISNUMBER(AD72),IF(AD72&gt;0,I72/AD72,"never"),"")</f>
        <v>4.67567593228119</v>
      </c>
    </row>
    <row r="73" customFormat="false" ht="15" hidden="false" customHeight="false" outlineLevel="0" collapsed="false">
      <c r="A73" s="53" t="str">
        <f aca="false">Countries!$A$29</f>
        <v>Malta</v>
      </c>
      <c r="B73" s="54" t="n">
        <v>2</v>
      </c>
      <c r="C73" s="53" t="str">
        <f aca="false">'Product &amp; Offers'!$B$15</f>
        <v>Buy 2 Get 1 Free</v>
      </c>
      <c r="D73" s="53" t="str">
        <f aca="false">Countries!$B$29</f>
        <v>Malta Post</v>
      </c>
      <c r="E73" s="54" t="n">
        <f aca="false">'Product &amp; Offers'!$C$15+'Product &amp; Offers'!$D$15</f>
        <v>3</v>
      </c>
      <c r="F73" s="55" t="n">
        <f aca="false">N(Countries!$C$29)</f>
        <v>29.9</v>
      </c>
      <c r="G73" s="55" t="n">
        <f aca="false">'Product &amp; Offers'!$C$15*F73</f>
        <v>59.8</v>
      </c>
      <c r="H73" s="55" t="n">
        <f aca="false">IF(AND(ISNUMBER(Countries!$E$29),G73&gt;=Countries!$E$29),0,N(Countries!$D$29))</f>
        <v>0</v>
      </c>
      <c r="I73" s="55" t="n">
        <f aca="false">G73+H73</f>
        <v>59.8</v>
      </c>
      <c r="J73" s="56" t="n">
        <f aca="false">IF(VAT_On_Sales="Yes",IFERROR(INDEX(VAT_Rate,MATCH(A73,VAT_Country,0)),0),0)</f>
        <v>0.18</v>
      </c>
      <c r="K73" s="55" t="n">
        <f aca="false">I73-I73/(1+J73)</f>
        <v>9.12203389830508</v>
      </c>
      <c r="L73" s="55" t="n">
        <f aca="false">I73-K73</f>
        <v>50.6779661016949</v>
      </c>
      <c r="M73" s="55" t="n">
        <f aca="false">E73*P_Landed</f>
        <v>16.14</v>
      </c>
      <c r="N73" s="57" t="n">
        <f aca="false">E73*P_Weight+P_PackW</f>
        <v>0.8</v>
      </c>
      <c r="O73" s="54" t="n">
        <f aca="false">IFERROR(MATCH(1,INDEX((Dest_Country=A73)*(Dest_Courier=D73),0),0),0)</f>
        <v>36</v>
      </c>
      <c r="P73" s="55" t="n">
        <f aca="false">IF(O73=0,0,IFERROR(INDEX(Rate_Table,O73,COUNTIF(Rate_Weights,"&lt;"&amp;N73)+1),0))</f>
        <v>13.7</v>
      </c>
      <c r="Q73" s="55" t="n">
        <f aca="false">IF(P73&gt;0,P73*(1+INDEX(Dest_Fuel,O73))+INDEX(Dest_SMS,O73),0)</f>
        <v>13.7</v>
      </c>
      <c r="R73" s="55" t="n">
        <f aca="false">IF(E73&gt;0,FF_Base+FF_Extra_Item*MAX(0,E73-2)+FF_Extra_5kg*ROUNDUP(MAX(0,N73-5)/5,0),0)</f>
        <v>1</v>
      </c>
      <c r="S73" s="55" t="n">
        <f aca="false">'Product &amp; Offers'!$E$15</f>
        <v>0.13</v>
      </c>
      <c r="T73" s="55" t="n">
        <f aca="false">I73*Stripe_Pct+Stripe_Fixed</f>
        <v>3.4892</v>
      </c>
      <c r="U73" s="55" t="n">
        <f aca="false">(Q73+R73+S73)*(FF_VAT_Mult-1)</f>
        <v>2.966</v>
      </c>
      <c r="V73" s="55" t="n">
        <f aca="false">N(Countries!$F$29)</f>
        <v>15</v>
      </c>
      <c r="W73" s="55" t="n">
        <f aca="false">Fixed_Per_Order</f>
        <v>1.5844</v>
      </c>
      <c r="X73" s="56" t="n">
        <f aca="false">N(Countries!$G$29)</f>
        <v>0.03</v>
      </c>
      <c r="Y73" s="55" t="n">
        <f aca="false">X73*(L73-M73*P_Resell+(IF(Card_Ret_Label="Yes",Q73,0)+FF_Reverse)*FF_VAT_Mult)</f>
        <v>1.15637898305085</v>
      </c>
      <c r="Z73" s="55" t="n">
        <f aca="false">M73+Q73+R73+S73+T73+U73+V73+W73+Y73</f>
        <v>55.1659789830509</v>
      </c>
      <c r="AA73" s="53" t="str">
        <f aca="false">IF(E73=0,"",IF(NOT(ISNUMBER(Countries!$C$29)),"enter price",IF(O73=0,"pick courier",IF(P73=0,"too heavy","OK"))))</f>
        <v>OK</v>
      </c>
      <c r="AB73" s="55" t="n">
        <f aca="false">IF(AA73="OK",L73-Z73,"")</f>
        <v>-4.48801288135594</v>
      </c>
      <c r="AC73" s="56" t="n">
        <f aca="false">IF(ISNUMBER(AB73),IF(L73&gt;0,AB73/L73,0),"")</f>
        <v>-0.0885594515050168</v>
      </c>
      <c r="AD73" s="55" t="n">
        <f aca="false">IF(ISNUMBER(AB73),AB73+V73,"")</f>
        <v>10.5119871186441</v>
      </c>
      <c r="AE73" s="58" t="n">
        <f aca="false">IF(ISNUMBER(AD73),IF(AD73&gt;0,I73/AD73,"never"),"")</f>
        <v>5.68874365284739</v>
      </c>
    </row>
    <row r="74" customFormat="false" ht="15" hidden="false" customHeight="false" outlineLevel="0" collapsed="false">
      <c r="A74" s="53" t="str">
        <f aca="false">Countries!$A$29</f>
        <v>Malta</v>
      </c>
      <c r="B74" s="54" t="n">
        <v>3</v>
      </c>
      <c r="C74" s="53" t="str">
        <f aca="false">'Product &amp; Offers'!$B$16</f>
        <v>Buy 1 Get 1 Free</v>
      </c>
      <c r="D74" s="53" t="str">
        <f aca="false">Countries!$B$29</f>
        <v>Malta Post</v>
      </c>
      <c r="E74" s="54" t="n">
        <f aca="false">'Product &amp; Offers'!$C$16+'Product &amp; Offers'!$D$16</f>
        <v>2</v>
      </c>
      <c r="F74" s="55" t="n">
        <f aca="false">N(Countries!$C$29)</f>
        <v>29.9</v>
      </c>
      <c r="G74" s="55" t="n">
        <f aca="false">'Product &amp; Offers'!$C$16*F74</f>
        <v>29.9</v>
      </c>
      <c r="H74" s="55" t="n">
        <f aca="false">IF(AND(ISNUMBER(Countries!$E$29),G74&gt;=Countries!$E$29),0,N(Countries!$D$29))</f>
        <v>4.99</v>
      </c>
      <c r="I74" s="55" t="n">
        <f aca="false">G74+H74</f>
        <v>34.89</v>
      </c>
      <c r="J74" s="56" t="n">
        <f aca="false">IF(VAT_On_Sales="Yes",IFERROR(INDEX(VAT_Rate,MATCH(A74,VAT_Country,0)),0),0)</f>
        <v>0.18</v>
      </c>
      <c r="K74" s="55" t="n">
        <f aca="false">I74-I74/(1+J74)</f>
        <v>5.32220338983051</v>
      </c>
      <c r="L74" s="55" t="n">
        <f aca="false">I74-K74</f>
        <v>29.5677966101695</v>
      </c>
      <c r="M74" s="55" t="n">
        <f aca="false">E74*P_Landed</f>
        <v>10.76</v>
      </c>
      <c r="N74" s="57" t="n">
        <f aca="false">E74*P_Weight+P_PackW</f>
        <v>0.55</v>
      </c>
      <c r="O74" s="54" t="n">
        <f aca="false">IFERROR(MATCH(1,INDEX((Dest_Country=A74)*(Dest_Courier=D74),0),0),0)</f>
        <v>36</v>
      </c>
      <c r="P74" s="55" t="n">
        <f aca="false">IF(O74=0,0,IFERROR(INDEX(Rate_Table,O74,COUNTIF(Rate_Weights,"&lt;"&amp;N74)+1),0))</f>
        <v>13.7</v>
      </c>
      <c r="Q74" s="55" t="n">
        <f aca="false">IF(P74&gt;0,P74*(1+INDEX(Dest_Fuel,O74))+INDEX(Dest_SMS,O74),0)</f>
        <v>13.7</v>
      </c>
      <c r="R74" s="55" t="n">
        <f aca="false">IF(E74&gt;0,FF_Base+FF_Extra_Item*MAX(0,E74-2)+FF_Extra_5kg*ROUNDUP(MAX(0,N74-5)/5,0),0)</f>
        <v>0.65</v>
      </c>
      <c r="S74" s="55" t="n">
        <f aca="false">'Product &amp; Offers'!$E$16</f>
        <v>0.08</v>
      </c>
      <c r="T74" s="55" t="n">
        <f aca="false">I74*Stripe_Pct+Stripe_Fixed</f>
        <v>2.14406</v>
      </c>
      <c r="U74" s="55" t="n">
        <f aca="false">(Q74+R74+S74)*(FF_VAT_Mult-1)</f>
        <v>2.886</v>
      </c>
      <c r="V74" s="55" t="n">
        <f aca="false">N(Countries!$F$29)</f>
        <v>15</v>
      </c>
      <c r="W74" s="55" t="n">
        <f aca="false">Fixed_Per_Order</f>
        <v>1.5844</v>
      </c>
      <c r="X74" s="56" t="n">
        <f aca="false">N(Countries!$G$29)</f>
        <v>0.03</v>
      </c>
      <c r="Y74" s="55" t="n">
        <f aca="false">X74*(L74-M74*P_Resell+(IF(Card_Ret_Label="Yes",Q74,0)+FF_Reverse)*FF_VAT_Mult)</f>
        <v>0.652193898305085</v>
      </c>
      <c r="Z74" s="55" t="n">
        <f aca="false">M74+Q74+R74+S74+T74+U74+V74+W74+Y74</f>
        <v>47.4566538983051</v>
      </c>
      <c r="AA74" s="53" t="str">
        <f aca="false">IF(E74=0,"",IF(NOT(ISNUMBER(Countries!$C$29)),"enter price",IF(O74=0,"pick courier",IF(P74=0,"too heavy","OK"))))</f>
        <v>OK</v>
      </c>
      <c r="AB74" s="55" t="n">
        <f aca="false">IF(AA74="OK",L74-Z74,"")</f>
        <v>-17.8888572881356</v>
      </c>
      <c r="AC74" s="56" t="n">
        <f aca="false">IF(ISNUMBER(AB74),IF(L74&gt;0,AB74/L74,0),"")</f>
        <v>-0.60501151046145</v>
      </c>
      <c r="AD74" s="55" t="n">
        <f aca="false">IF(ISNUMBER(AB74),AB74+V74,"")</f>
        <v>-2.88885728813559</v>
      </c>
      <c r="AE74" s="58" t="str">
        <f aca="false">IF(ISNUMBER(AD74),IF(AD74&gt;0,I74/AD74,"never"),"")</f>
        <v>never</v>
      </c>
    </row>
    <row r="75" customFormat="false" ht="15" hidden="false" customHeight="false" outlineLevel="0" collapsed="false">
      <c r="A75" s="53" t="str">
        <f aca="false">Countries!$A$30</f>
        <v>Spain</v>
      </c>
      <c r="B75" s="54" t="n">
        <v>1</v>
      </c>
      <c r="C75" s="53" t="str">
        <f aca="false">'Product &amp; Offers'!$B$14</f>
        <v>Buy 1</v>
      </c>
      <c r="D75" s="53" t="str">
        <f aca="false">Countries!$B$30</f>
        <v>CTT Express</v>
      </c>
      <c r="E75" s="54" t="n">
        <f aca="false">'Product &amp; Offers'!$C$14+'Product &amp; Offers'!$D$14</f>
        <v>1</v>
      </c>
      <c r="F75" s="55" t="n">
        <f aca="false">N(Countries!$C$30)</f>
        <v>29.9</v>
      </c>
      <c r="G75" s="55" t="n">
        <f aca="false">'Product &amp; Offers'!$C$14*F75</f>
        <v>29.9</v>
      </c>
      <c r="H75" s="55" t="n">
        <f aca="false">IF(AND(ISNUMBER(Countries!$E$30),G75&gt;=Countries!$E$30),0,N(Countries!$D$30))</f>
        <v>4.99</v>
      </c>
      <c r="I75" s="55" t="n">
        <f aca="false">G75+H75</f>
        <v>34.89</v>
      </c>
      <c r="J75" s="56" t="n">
        <f aca="false">IF(VAT_On_Sales="Yes",IFERROR(INDEX(VAT_Rate,MATCH(A75,VAT_Country,0)),0),0)</f>
        <v>0.21</v>
      </c>
      <c r="K75" s="55" t="n">
        <f aca="false">I75-I75/(1+J75)</f>
        <v>6.05528925619835</v>
      </c>
      <c r="L75" s="55" t="n">
        <f aca="false">I75-K75</f>
        <v>28.8347107438017</v>
      </c>
      <c r="M75" s="55" t="n">
        <f aca="false">E75*P_Landed</f>
        <v>5.38</v>
      </c>
      <c r="N75" s="57" t="n">
        <f aca="false">E75*P_Weight+P_PackW</f>
        <v>0.3</v>
      </c>
      <c r="O75" s="54" t="n">
        <f aca="false">IFERROR(MATCH(1,INDEX((Dest_Country=A75)*(Dest_Courier=D75),0),0),0)</f>
        <v>37</v>
      </c>
      <c r="P75" s="55" t="n">
        <f aca="false">IF(O75=0,0,IFERROR(INDEX(Rate_Table,O75,COUNTIF(Rate_Weights,"&lt;"&amp;N75)+1),0))</f>
        <v>7.3</v>
      </c>
      <c r="Q75" s="55" t="n">
        <f aca="false">IF(P75&gt;0,P75*(1+INDEX(Dest_Fuel,O75))+INDEX(Dest_SMS,O75),0)</f>
        <v>7.3</v>
      </c>
      <c r="R75" s="55" t="n">
        <f aca="false">IF(E75&gt;0,FF_Base+FF_Extra_Item*MAX(0,E75-2)+FF_Extra_5kg*ROUNDUP(MAX(0,N75-5)/5,0),0)</f>
        <v>0.65</v>
      </c>
      <c r="S75" s="55" t="n">
        <f aca="false">'Product &amp; Offers'!$E$14</f>
        <v>0.08</v>
      </c>
      <c r="T75" s="55" t="n">
        <f aca="false">I75*Stripe_Pct+Stripe_Fixed</f>
        <v>2.14406</v>
      </c>
      <c r="U75" s="55" t="n">
        <f aca="false">(Q75+R75+S75)*(FF_VAT_Mult-1)</f>
        <v>1.606</v>
      </c>
      <c r="V75" s="55" t="n">
        <f aca="false">N(Countries!$F$30)</f>
        <v>15</v>
      </c>
      <c r="W75" s="55" t="n">
        <f aca="false">Fixed_Per_Order</f>
        <v>1.5844</v>
      </c>
      <c r="X75" s="56" t="n">
        <f aca="false">N(Countries!$G$30)</f>
        <v>0.03</v>
      </c>
      <c r="Y75" s="55" t="n">
        <f aca="false">X75*(L75-M75*P_Resell+(IF(Card_Ret_Label="Yes",Q75,0)+FF_Reverse)*FF_VAT_Mult)</f>
        <v>0.75932132231405</v>
      </c>
      <c r="Z75" s="55" t="n">
        <f aca="false">M75+Q75+R75+S75+T75+U75+V75+W75+Y75</f>
        <v>34.5037813223141</v>
      </c>
      <c r="AA75" s="53" t="str">
        <f aca="false">IF(E75=0,"",IF(NOT(ISNUMBER(Countries!$C$30)),"enter price",IF(O75=0,"pick courier",IF(P75=0,"too heavy","OK"))))</f>
        <v>OK</v>
      </c>
      <c r="AB75" s="55" t="n">
        <f aca="false">IF(AA75="OK",L75-Z75,"")</f>
        <v>-5.6690705785124</v>
      </c>
      <c r="AC75" s="56" t="n">
        <f aca="false">IF(ISNUMBER(AB75),IF(L75&gt;0,AB75/L75,0),"")</f>
        <v>-0.19660577242763</v>
      </c>
      <c r="AD75" s="55" t="n">
        <f aca="false">IF(ISNUMBER(AB75),AB75+V75,"")</f>
        <v>9.3309294214876</v>
      </c>
      <c r="AE75" s="58" t="n">
        <f aca="false">IF(ISNUMBER(AD75),IF(AD75&gt;0,I75/AD75,"never"),"")</f>
        <v>3.73917735565056</v>
      </c>
    </row>
    <row r="76" customFormat="false" ht="15" hidden="false" customHeight="false" outlineLevel="0" collapsed="false">
      <c r="A76" s="53" t="str">
        <f aca="false">Countries!$A$30</f>
        <v>Spain</v>
      </c>
      <c r="B76" s="54" t="n">
        <v>2</v>
      </c>
      <c r="C76" s="53" t="str">
        <f aca="false">'Product &amp; Offers'!$B$15</f>
        <v>Buy 2 Get 1 Free</v>
      </c>
      <c r="D76" s="53" t="str">
        <f aca="false">Countries!$B$30</f>
        <v>CTT Express</v>
      </c>
      <c r="E76" s="54" t="n">
        <f aca="false">'Product &amp; Offers'!$C$15+'Product &amp; Offers'!$D$15</f>
        <v>3</v>
      </c>
      <c r="F76" s="55" t="n">
        <f aca="false">N(Countries!$C$30)</f>
        <v>29.9</v>
      </c>
      <c r="G76" s="55" t="n">
        <f aca="false">'Product &amp; Offers'!$C$15*F76</f>
        <v>59.8</v>
      </c>
      <c r="H76" s="55" t="n">
        <f aca="false">IF(AND(ISNUMBER(Countries!$E$30),G76&gt;=Countries!$E$30),0,N(Countries!$D$30))</f>
        <v>0</v>
      </c>
      <c r="I76" s="55" t="n">
        <f aca="false">G76+H76</f>
        <v>59.8</v>
      </c>
      <c r="J76" s="56" t="n">
        <f aca="false">IF(VAT_On_Sales="Yes",IFERROR(INDEX(VAT_Rate,MATCH(A76,VAT_Country,0)),0),0)</f>
        <v>0.21</v>
      </c>
      <c r="K76" s="55" t="n">
        <f aca="false">I76-I76/(1+J76)</f>
        <v>10.3785123966942</v>
      </c>
      <c r="L76" s="55" t="n">
        <f aca="false">I76-K76</f>
        <v>49.4214876033058</v>
      </c>
      <c r="M76" s="55" t="n">
        <f aca="false">E76*P_Landed</f>
        <v>16.14</v>
      </c>
      <c r="N76" s="57" t="n">
        <f aca="false">E76*P_Weight+P_PackW</f>
        <v>0.8</v>
      </c>
      <c r="O76" s="54" t="n">
        <f aca="false">IFERROR(MATCH(1,INDEX((Dest_Country=A76)*(Dest_Courier=D76),0),0),0)</f>
        <v>37</v>
      </c>
      <c r="P76" s="55" t="n">
        <f aca="false">IF(O76=0,0,IFERROR(INDEX(Rate_Table,O76,COUNTIF(Rate_Weights,"&lt;"&amp;N76)+1),0))</f>
        <v>8.7625</v>
      </c>
      <c r="Q76" s="55" t="n">
        <f aca="false">IF(P76&gt;0,P76*(1+INDEX(Dest_Fuel,O76))+INDEX(Dest_SMS,O76),0)</f>
        <v>8.7625</v>
      </c>
      <c r="R76" s="55" t="n">
        <f aca="false">IF(E76&gt;0,FF_Base+FF_Extra_Item*MAX(0,E76-2)+FF_Extra_5kg*ROUNDUP(MAX(0,N76-5)/5,0),0)</f>
        <v>1</v>
      </c>
      <c r="S76" s="55" t="n">
        <f aca="false">'Product &amp; Offers'!$E$15</f>
        <v>0.13</v>
      </c>
      <c r="T76" s="55" t="n">
        <f aca="false">I76*Stripe_Pct+Stripe_Fixed</f>
        <v>3.4892</v>
      </c>
      <c r="U76" s="55" t="n">
        <f aca="false">(Q76+R76+S76)*(FF_VAT_Mult-1)</f>
        <v>1.9785</v>
      </c>
      <c r="V76" s="55" t="n">
        <f aca="false">N(Countries!$F$30)</f>
        <v>15</v>
      </c>
      <c r="W76" s="55" t="n">
        <f aca="false">Fixed_Per_Order</f>
        <v>1.5844</v>
      </c>
      <c r="X76" s="56" t="n">
        <f aca="false">N(Countries!$G$30)</f>
        <v>0.03</v>
      </c>
      <c r="Y76" s="55" t="n">
        <f aca="false">X76*(L76-M76*P_Resell+(IF(Card_Ret_Label="Yes",Q76,0)+FF_Reverse)*FF_VAT_Mult)</f>
        <v>1.11868462809917</v>
      </c>
      <c r="Z76" s="55" t="n">
        <f aca="false">M76+Q76+R76+S76+T76+U76+V76+W76+Y76</f>
        <v>49.2032846280992</v>
      </c>
      <c r="AA76" s="53" t="str">
        <f aca="false">IF(E76=0,"",IF(NOT(ISNUMBER(Countries!$C$30)),"enter price",IF(O76=0,"pick courier",IF(P76=0,"too heavy","OK"))))</f>
        <v>OK</v>
      </c>
      <c r="AB76" s="55" t="n">
        <f aca="false">IF(AA76="OK",L76-Z76,"")</f>
        <v>0.218202975206609</v>
      </c>
      <c r="AC76" s="56" t="n">
        <f aca="false">IF(ISNUMBER(AB76),IF(L76&gt;0,AB76/L76,0),"")</f>
        <v>0.00441514381270897</v>
      </c>
      <c r="AD76" s="55" t="n">
        <f aca="false">IF(ISNUMBER(AB76),AB76+V76,"")</f>
        <v>15.2182029752066</v>
      </c>
      <c r="AE76" s="58" t="n">
        <f aca="false">IF(ISNUMBER(AD76),IF(AD76&gt;0,I76/AD76,"never"),"")</f>
        <v>3.92950469233626</v>
      </c>
    </row>
    <row r="77" customFormat="false" ht="15" hidden="false" customHeight="false" outlineLevel="0" collapsed="false">
      <c r="A77" s="53" t="str">
        <f aca="false">Countries!$A$30</f>
        <v>Spain</v>
      </c>
      <c r="B77" s="54" t="n">
        <v>3</v>
      </c>
      <c r="C77" s="53" t="str">
        <f aca="false">'Product &amp; Offers'!$B$16</f>
        <v>Buy 1 Get 1 Free</v>
      </c>
      <c r="D77" s="53" t="str">
        <f aca="false">Countries!$B$30</f>
        <v>CTT Express</v>
      </c>
      <c r="E77" s="54" t="n">
        <f aca="false">'Product &amp; Offers'!$C$16+'Product &amp; Offers'!$D$16</f>
        <v>2</v>
      </c>
      <c r="F77" s="55" t="n">
        <f aca="false">N(Countries!$C$30)</f>
        <v>29.9</v>
      </c>
      <c r="G77" s="55" t="n">
        <f aca="false">'Product &amp; Offers'!$C$16*F77</f>
        <v>29.9</v>
      </c>
      <c r="H77" s="55" t="n">
        <f aca="false">IF(AND(ISNUMBER(Countries!$E$30),G77&gt;=Countries!$E$30),0,N(Countries!$D$30))</f>
        <v>4.99</v>
      </c>
      <c r="I77" s="55" t="n">
        <f aca="false">G77+H77</f>
        <v>34.89</v>
      </c>
      <c r="J77" s="56" t="n">
        <f aca="false">IF(VAT_On_Sales="Yes",IFERROR(INDEX(VAT_Rate,MATCH(A77,VAT_Country,0)),0),0)</f>
        <v>0.21</v>
      </c>
      <c r="K77" s="55" t="n">
        <f aca="false">I77-I77/(1+J77)</f>
        <v>6.05528925619835</v>
      </c>
      <c r="L77" s="55" t="n">
        <f aca="false">I77-K77</f>
        <v>28.8347107438017</v>
      </c>
      <c r="M77" s="55" t="n">
        <f aca="false">E77*P_Landed</f>
        <v>10.76</v>
      </c>
      <c r="N77" s="57" t="n">
        <f aca="false">E77*P_Weight+P_PackW</f>
        <v>0.55</v>
      </c>
      <c r="O77" s="54" t="n">
        <f aca="false">IFERROR(MATCH(1,INDEX((Dest_Country=A77)*(Dest_Courier=D77),0),0),0)</f>
        <v>37</v>
      </c>
      <c r="P77" s="55" t="n">
        <f aca="false">IF(O77=0,0,IFERROR(INDEX(Rate_Table,O77,COUNTIF(Rate_Weights,"&lt;"&amp;N77)+1),0))</f>
        <v>8.7625</v>
      </c>
      <c r="Q77" s="55" t="n">
        <f aca="false">IF(P77&gt;0,P77*(1+INDEX(Dest_Fuel,O77))+INDEX(Dest_SMS,O77),0)</f>
        <v>8.7625</v>
      </c>
      <c r="R77" s="55" t="n">
        <f aca="false">IF(E77&gt;0,FF_Base+FF_Extra_Item*MAX(0,E77-2)+FF_Extra_5kg*ROUNDUP(MAX(0,N77-5)/5,0),0)</f>
        <v>0.65</v>
      </c>
      <c r="S77" s="55" t="n">
        <f aca="false">'Product &amp; Offers'!$E$16</f>
        <v>0.08</v>
      </c>
      <c r="T77" s="55" t="n">
        <f aca="false">I77*Stripe_Pct+Stripe_Fixed</f>
        <v>2.14406</v>
      </c>
      <c r="U77" s="55" t="n">
        <f aca="false">(Q77+R77+S77)*(FF_VAT_Mult-1)</f>
        <v>1.8985</v>
      </c>
      <c r="V77" s="55" t="n">
        <f aca="false">N(Countries!$F$30)</f>
        <v>15</v>
      </c>
      <c r="W77" s="55" t="n">
        <f aca="false">Fixed_Per_Order</f>
        <v>1.5844</v>
      </c>
      <c r="X77" s="56" t="n">
        <f aca="false">N(Countries!$G$30)</f>
        <v>0.03</v>
      </c>
      <c r="Y77" s="55" t="n">
        <f aca="false">X77*(L77-M77*P_Resell+(IF(Card_Ret_Label="Yes",Q77,0)+FF_Reverse)*FF_VAT_Mult)</f>
        <v>0.63020132231405</v>
      </c>
      <c r="Z77" s="55" t="n">
        <f aca="false">M77+Q77+R77+S77+T77+U77+V77+W77+Y77</f>
        <v>41.509661322314</v>
      </c>
      <c r="AA77" s="53" t="str">
        <f aca="false">IF(E77=0,"",IF(NOT(ISNUMBER(Countries!$C$30)),"enter price",IF(O77=0,"pick courier",IF(P77=0,"too heavy","OK"))))</f>
        <v>OK</v>
      </c>
      <c r="AB77" s="55" t="n">
        <f aca="false">IF(AA77="OK",L77-Z77,"")</f>
        <v>-12.6749505785124</v>
      </c>
      <c r="AC77" s="56" t="n">
        <f aca="false">IF(ISNUMBER(AB77),IF(L77&gt;0,AB77/L77,0),"")</f>
        <v>-0.439572662654055</v>
      </c>
      <c r="AD77" s="55" t="n">
        <f aca="false">IF(ISNUMBER(AB77),AB77+V77,"")</f>
        <v>2.32504942148761</v>
      </c>
      <c r="AE77" s="58" t="n">
        <f aca="false">IF(ISNUMBER(AD77),IF(AD77&gt;0,I77/AD77,"never"),"")</f>
        <v>15.0061326342374</v>
      </c>
    </row>
    <row r="78" customFormat="false" ht="15" hidden="false" customHeight="false" outlineLevel="0" collapsed="false">
      <c r="A78" s="53" t="str">
        <f aca="false">Countries!$A$31</f>
        <v>Portugal</v>
      </c>
      <c r="B78" s="54" t="n">
        <v>1</v>
      </c>
      <c r="C78" s="53" t="str">
        <f aca="false">'Product &amp; Offers'!$B$14</f>
        <v>Buy 1</v>
      </c>
      <c r="D78" s="53" t="str">
        <f aca="false">Countries!$B$31</f>
        <v>CTT Express</v>
      </c>
      <c r="E78" s="54" t="n">
        <f aca="false">'Product &amp; Offers'!$C$14+'Product &amp; Offers'!$D$14</f>
        <v>1</v>
      </c>
      <c r="F78" s="55" t="n">
        <f aca="false">N(Countries!$C$31)</f>
        <v>29.9</v>
      </c>
      <c r="G78" s="55" t="n">
        <f aca="false">'Product &amp; Offers'!$C$14*F78</f>
        <v>29.9</v>
      </c>
      <c r="H78" s="55" t="n">
        <f aca="false">IF(AND(ISNUMBER(Countries!$E$31),G78&gt;=Countries!$E$31),0,N(Countries!$D$31))</f>
        <v>4.99</v>
      </c>
      <c r="I78" s="55" t="n">
        <f aca="false">G78+H78</f>
        <v>34.89</v>
      </c>
      <c r="J78" s="56" t="n">
        <f aca="false">IF(VAT_On_Sales="Yes",IFERROR(INDEX(VAT_Rate,MATCH(A78,VAT_Country,0)),0),0)</f>
        <v>0.23</v>
      </c>
      <c r="K78" s="55" t="n">
        <f aca="false">I78-I78/(1+J78)</f>
        <v>6.52414634146341</v>
      </c>
      <c r="L78" s="55" t="n">
        <f aca="false">I78-K78</f>
        <v>28.3658536585366</v>
      </c>
      <c r="M78" s="55" t="n">
        <f aca="false">E78*P_Landed</f>
        <v>5.38</v>
      </c>
      <c r="N78" s="57" t="n">
        <f aca="false">E78*P_Weight+P_PackW</f>
        <v>0.3</v>
      </c>
      <c r="O78" s="54" t="n">
        <f aca="false">IFERROR(MATCH(1,INDEX((Dest_Country=A78)*(Dest_Courier=D78),0),0),0)</f>
        <v>38</v>
      </c>
      <c r="P78" s="55" t="n">
        <f aca="false">IF(O78=0,0,IFERROR(INDEX(Rate_Table,O78,COUNTIF(Rate_Weights,"&lt;"&amp;N78)+1),0))</f>
        <v>7.775</v>
      </c>
      <c r="Q78" s="55" t="n">
        <f aca="false">IF(P78&gt;0,P78*(1+INDEX(Dest_Fuel,O78))+INDEX(Dest_SMS,O78),0)</f>
        <v>7.775</v>
      </c>
      <c r="R78" s="55" t="n">
        <f aca="false">IF(E78&gt;0,FF_Base+FF_Extra_Item*MAX(0,E78-2)+FF_Extra_5kg*ROUNDUP(MAX(0,N78-5)/5,0),0)</f>
        <v>0.65</v>
      </c>
      <c r="S78" s="55" t="n">
        <f aca="false">'Product &amp; Offers'!$E$14</f>
        <v>0.08</v>
      </c>
      <c r="T78" s="55" t="n">
        <f aca="false">I78*Stripe_Pct+Stripe_Fixed</f>
        <v>2.14406</v>
      </c>
      <c r="U78" s="55" t="n">
        <f aca="false">(Q78+R78+S78)*(FF_VAT_Mult-1)</f>
        <v>1.701</v>
      </c>
      <c r="V78" s="55" t="n">
        <f aca="false">N(Countries!$F$31)</f>
        <v>15</v>
      </c>
      <c r="W78" s="55" t="n">
        <f aca="false">Fixed_Per_Order</f>
        <v>1.5844</v>
      </c>
      <c r="X78" s="56" t="n">
        <f aca="false">N(Countries!$G$31)</f>
        <v>0.03</v>
      </c>
      <c r="Y78" s="55" t="n">
        <f aca="false">X78*(L78-M78*P_Resell+(IF(Card_Ret_Label="Yes",Q78,0)+FF_Reverse)*FF_VAT_Mult)</f>
        <v>0.745255609756098</v>
      </c>
      <c r="Z78" s="55" t="n">
        <f aca="false">M78+Q78+R78+S78+T78+U78+V78+W78+Y78</f>
        <v>35.0597156097561</v>
      </c>
      <c r="AA78" s="53" t="str">
        <f aca="false">IF(E78=0,"",IF(NOT(ISNUMBER(Countries!$C$31)),"enter price",IF(O78=0,"pick courier",IF(P78=0,"too heavy","OK"))))</f>
        <v>OK</v>
      </c>
      <c r="AB78" s="55" t="n">
        <f aca="false">IF(AA78="OK",L78-Z78,"")</f>
        <v>-6.69386195121951</v>
      </c>
      <c r="AC78" s="56" t="n">
        <f aca="false">IF(ISNUMBER(AB78),IF(L78&gt;0,AB78/L78,0),"")</f>
        <v>-0.23598309544282</v>
      </c>
      <c r="AD78" s="55" t="n">
        <f aca="false">IF(ISNUMBER(AB78),AB78+V78,"")</f>
        <v>8.30613804878049</v>
      </c>
      <c r="AE78" s="58" t="n">
        <f aca="false">IF(ISNUMBER(AD78),IF(AD78&gt;0,I78/AD78,"never"),"")</f>
        <v>4.20050808150517</v>
      </c>
    </row>
    <row r="79" customFormat="false" ht="15" hidden="false" customHeight="false" outlineLevel="0" collapsed="false">
      <c r="A79" s="53" t="str">
        <f aca="false">Countries!$A$31</f>
        <v>Portugal</v>
      </c>
      <c r="B79" s="54" t="n">
        <v>2</v>
      </c>
      <c r="C79" s="53" t="str">
        <f aca="false">'Product &amp; Offers'!$B$15</f>
        <v>Buy 2 Get 1 Free</v>
      </c>
      <c r="D79" s="53" t="str">
        <f aca="false">Countries!$B$31</f>
        <v>CTT Express</v>
      </c>
      <c r="E79" s="54" t="n">
        <f aca="false">'Product &amp; Offers'!$C$15+'Product &amp; Offers'!$D$15</f>
        <v>3</v>
      </c>
      <c r="F79" s="55" t="n">
        <f aca="false">N(Countries!$C$31)</f>
        <v>29.9</v>
      </c>
      <c r="G79" s="55" t="n">
        <f aca="false">'Product &amp; Offers'!$C$15*F79</f>
        <v>59.8</v>
      </c>
      <c r="H79" s="55" t="n">
        <f aca="false">IF(AND(ISNUMBER(Countries!$E$31),G79&gt;=Countries!$E$31),0,N(Countries!$D$31))</f>
        <v>0</v>
      </c>
      <c r="I79" s="55" t="n">
        <f aca="false">G79+H79</f>
        <v>59.8</v>
      </c>
      <c r="J79" s="56" t="n">
        <f aca="false">IF(VAT_On_Sales="Yes",IFERROR(INDEX(VAT_Rate,MATCH(A79,VAT_Country,0)),0),0)</f>
        <v>0.23</v>
      </c>
      <c r="K79" s="55" t="n">
        <f aca="false">I79-I79/(1+J79)</f>
        <v>11.1821138211382</v>
      </c>
      <c r="L79" s="55" t="n">
        <f aca="false">I79-K79</f>
        <v>48.6178861788618</v>
      </c>
      <c r="M79" s="55" t="n">
        <f aca="false">E79*P_Landed</f>
        <v>16.14</v>
      </c>
      <c r="N79" s="57" t="n">
        <f aca="false">E79*P_Weight+P_PackW</f>
        <v>0.8</v>
      </c>
      <c r="O79" s="54" t="n">
        <f aca="false">IFERROR(MATCH(1,INDEX((Dest_Country=A79)*(Dest_Courier=D79),0),0),0)</f>
        <v>38</v>
      </c>
      <c r="P79" s="55" t="n">
        <f aca="false">IF(O79=0,0,IFERROR(INDEX(Rate_Table,O79,COUNTIF(Rate_Weights,"&lt;"&amp;N79)+1),0))</f>
        <v>9.2375</v>
      </c>
      <c r="Q79" s="55" t="n">
        <f aca="false">IF(P79&gt;0,P79*(1+INDEX(Dest_Fuel,O79))+INDEX(Dest_SMS,O79),0)</f>
        <v>9.2375</v>
      </c>
      <c r="R79" s="55" t="n">
        <f aca="false">IF(E79&gt;0,FF_Base+FF_Extra_Item*MAX(0,E79-2)+FF_Extra_5kg*ROUNDUP(MAX(0,N79-5)/5,0),0)</f>
        <v>1</v>
      </c>
      <c r="S79" s="55" t="n">
        <f aca="false">'Product &amp; Offers'!$E$15</f>
        <v>0.13</v>
      </c>
      <c r="T79" s="55" t="n">
        <f aca="false">I79*Stripe_Pct+Stripe_Fixed</f>
        <v>3.4892</v>
      </c>
      <c r="U79" s="55" t="n">
        <f aca="false">(Q79+R79+S79)*(FF_VAT_Mult-1)</f>
        <v>2.0735</v>
      </c>
      <c r="V79" s="55" t="n">
        <f aca="false">N(Countries!$F$31)</f>
        <v>15</v>
      </c>
      <c r="W79" s="55" t="n">
        <f aca="false">Fixed_Per_Order</f>
        <v>1.5844</v>
      </c>
      <c r="X79" s="56" t="n">
        <f aca="false">N(Countries!$G$31)</f>
        <v>0.03</v>
      </c>
      <c r="Y79" s="55" t="n">
        <f aca="false">X79*(L79-M79*P_Resell+(IF(Card_Ret_Label="Yes",Q79,0)+FF_Reverse)*FF_VAT_Mult)</f>
        <v>1.09457658536585</v>
      </c>
      <c r="Z79" s="55" t="n">
        <f aca="false">M79+Q79+R79+S79+T79+U79+V79+W79+Y79</f>
        <v>49.7491765853659</v>
      </c>
      <c r="AA79" s="53" t="str">
        <f aca="false">IF(E79=0,"",IF(NOT(ISNUMBER(Countries!$C$31)),"enter price",IF(O79=0,"pick courier",IF(P79=0,"too heavy","OK"))))</f>
        <v>OK</v>
      </c>
      <c r="AB79" s="55" t="n">
        <f aca="false">IF(AA79="OK",L79-Z79,"")</f>
        <v>-1.13129040650407</v>
      </c>
      <c r="AC79" s="56" t="n">
        <f aca="false">IF(ISNUMBER(AB79),IF(L79&gt;0,AB79/L79,0),"")</f>
        <v>-0.0232690167224082</v>
      </c>
      <c r="AD79" s="55" t="n">
        <f aca="false">IF(ISNUMBER(AB79),AB79+V79,"")</f>
        <v>13.8687095934959</v>
      </c>
      <c r="AE79" s="58" t="n">
        <f aca="false">IF(ISNUMBER(AD79),IF(AD79&gt;0,I79/AD79,"never"),"")</f>
        <v>4.31186474825637</v>
      </c>
    </row>
    <row r="80" customFormat="false" ht="15" hidden="false" customHeight="false" outlineLevel="0" collapsed="false">
      <c r="A80" s="53" t="str">
        <f aca="false">Countries!$A$31</f>
        <v>Portugal</v>
      </c>
      <c r="B80" s="54" t="n">
        <v>3</v>
      </c>
      <c r="C80" s="53" t="str">
        <f aca="false">'Product &amp; Offers'!$B$16</f>
        <v>Buy 1 Get 1 Free</v>
      </c>
      <c r="D80" s="53" t="str">
        <f aca="false">Countries!$B$31</f>
        <v>CTT Express</v>
      </c>
      <c r="E80" s="54" t="n">
        <f aca="false">'Product &amp; Offers'!$C$16+'Product &amp; Offers'!$D$16</f>
        <v>2</v>
      </c>
      <c r="F80" s="55" t="n">
        <f aca="false">N(Countries!$C$31)</f>
        <v>29.9</v>
      </c>
      <c r="G80" s="55" t="n">
        <f aca="false">'Product &amp; Offers'!$C$16*F80</f>
        <v>29.9</v>
      </c>
      <c r="H80" s="55" t="n">
        <f aca="false">IF(AND(ISNUMBER(Countries!$E$31),G80&gt;=Countries!$E$31),0,N(Countries!$D$31))</f>
        <v>4.99</v>
      </c>
      <c r="I80" s="55" t="n">
        <f aca="false">G80+H80</f>
        <v>34.89</v>
      </c>
      <c r="J80" s="56" t="n">
        <f aca="false">IF(VAT_On_Sales="Yes",IFERROR(INDEX(VAT_Rate,MATCH(A80,VAT_Country,0)),0),0)</f>
        <v>0.23</v>
      </c>
      <c r="K80" s="55" t="n">
        <f aca="false">I80-I80/(1+J80)</f>
        <v>6.52414634146341</v>
      </c>
      <c r="L80" s="55" t="n">
        <f aca="false">I80-K80</f>
        <v>28.3658536585366</v>
      </c>
      <c r="M80" s="55" t="n">
        <f aca="false">E80*P_Landed</f>
        <v>10.76</v>
      </c>
      <c r="N80" s="57" t="n">
        <f aca="false">E80*P_Weight+P_PackW</f>
        <v>0.55</v>
      </c>
      <c r="O80" s="54" t="n">
        <f aca="false">IFERROR(MATCH(1,INDEX((Dest_Country=A80)*(Dest_Courier=D80),0),0),0)</f>
        <v>38</v>
      </c>
      <c r="P80" s="55" t="n">
        <f aca="false">IF(O80=0,0,IFERROR(INDEX(Rate_Table,O80,COUNTIF(Rate_Weights,"&lt;"&amp;N80)+1),0))</f>
        <v>9.2375</v>
      </c>
      <c r="Q80" s="55" t="n">
        <f aca="false">IF(P80&gt;0,P80*(1+INDEX(Dest_Fuel,O80))+INDEX(Dest_SMS,O80),0)</f>
        <v>9.2375</v>
      </c>
      <c r="R80" s="55" t="n">
        <f aca="false">IF(E80&gt;0,FF_Base+FF_Extra_Item*MAX(0,E80-2)+FF_Extra_5kg*ROUNDUP(MAX(0,N80-5)/5,0),0)</f>
        <v>0.65</v>
      </c>
      <c r="S80" s="55" t="n">
        <f aca="false">'Product &amp; Offers'!$E$16</f>
        <v>0.08</v>
      </c>
      <c r="T80" s="55" t="n">
        <f aca="false">I80*Stripe_Pct+Stripe_Fixed</f>
        <v>2.14406</v>
      </c>
      <c r="U80" s="55" t="n">
        <f aca="false">(Q80+R80+S80)*(FF_VAT_Mult-1)</f>
        <v>1.9935</v>
      </c>
      <c r="V80" s="55" t="n">
        <f aca="false">N(Countries!$F$31)</f>
        <v>15</v>
      </c>
      <c r="W80" s="55" t="n">
        <f aca="false">Fixed_Per_Order</f>
        <v>1.5844</v>
      </c>
      <c r="X80" s="56" t="n">
        <f aca="false">N(Countries!$G$31)</f>
        <v>0.03</v>
      </c>
      <c r="Y80" s="55" t="n">
        <f aca="false">X80*(L80-M80*P_Resell+(IF(Card_Ret_Label="Yes",Q80,0)+FF_Reverse)*FF_VAT_Mult)</f>
        <v>0.616135609756098</v>
      </c>
      <c r="Z80" s="55" t="n">
        <f aca="false">M80+Q80+R80+S80+T80+U80+V80+W80+Y80</f>
        <v>42.0655956097561</v>
      </c>
      <c r="AA80" s="53" t="str">
        <f aca="false">IF(E80=0,"",IF(NOT(ISNUMBER(Countries!$C$31)),"enter price",IF(O80=0,"pick courier",IF(P80=0,"too heavy","OK"))))</f>
        <v>OK</v>
      </c>
      <c r="AB80" s="55" t="n">
        <f aca="false">IF(AA80="OK",L80-Z80,"")</f>
        <v>-13.6997419512195</v>
      </c>
      <c r="AC80" s="56" t="n">
        <f aca="false">IF(ISNUMBER(AB80),IF(L80&gt;0,AB80/L80,0),"")</f>
        <v>-0.482965967325881</v>
      </c>
      <c r="AD80" s="55" t="n">
        <f aca="false">IF(ISNUMBER(AB80),AB80+V80,"")</f>
        <v>1.30025804878049</v>
      </c>
      <c r="AE80" s="58" t="n">
        <f aca="false">IF(ISNUMBER(AD80),IF(AD80&gt;0,I80/AD80,"never"),"")</f>
        <v>26.8331351862989</v>
      </c>
    </row>
    <row r="81" customFormat="false" ht="15" hidden="false" customHeight="false" outlineLevel="0" collapsed="false">
      <c r="A81" s="53" t="str">
        <f aca="false">Countries!$A$32</f>
        <v>Ireland</v>
      </c>
      <c r="B81" s="54" t="n">
        <v>1</v>
      </c>
      <c r="C81" s="53" t="str">
        <f aca="false">'Product &amp; Offers'!$B$14</f>
        <v>Buy 1</v>
      </c>
      <c r="D81" s="53" t="str">
        <f aca="false">Countries!$B$32</f>
        <v>Fastway</v>
      </c>
      <c r="E81" s="54" t="n">
        <f aca="false">'Product &amp; Offers'!$C$14+'Product &amp; Offers'!$D$14</f>
        <v>1</v>
      </c>
      <c r="F81" s="55" t="n">
        <f aca="false">N(Countries!$C$32)</f>
        <v>29.9</v>
      </c>
      <c r="G81" s="55" t="n">
        <f aca="false">'Product &amp; Offers'!$C$14*F81</f>
        <v>29.9</v>
      </c>
      <c r="H81" s="55" t="n">
        <f aca="false">IF(AND(ISNUMBER(Countries!$E$32),G81&gt;=Countries!$E$32),0,N(Countries!$D$32))</f>
        <v>4.99</v>
      </c>
      <c r="I81" s="55" t="n">
        <f aca="false">G81+H81</f>
        <v>34.89</v>
      </c>
      <c r="J81" s="56" t="n">
        <f aca="false">IF(VAT_On_Sales="Yes",IFERROR(INDEX(VAT_Rate,MATCH(A81,VAT_Country,0)),0),0)</f>
        <v>0.23</v>
      </c>
      <c r="K81" s="55" t="n">
        <f aca="false">I81-I81/(1+J81)</f>
        <v>6.52414634146341</v>
      </c>
      <c r="L81" s="55" t="n">
        <f aca="false">I81-K81</f>
        <v>28.3658536585366</v>
      </c>
      <c r="M81" s="55" t="n">
        <f aca="false">E81*P_Landed</f>
        <v>5.38</v>
      </c>
      <c r="N81" s="57" t="n">
        <f aca="false">E81*P_Weight+P_PackW</f>
        <v>0.3</v>
      </c>
      <c r="O81" s="54" t="n">
        <f aca="false">IFERROR(MATCH(1,INDEX((Dest_Country=A81)*(Dest_Courier=D81),0),0),0)</f>
        <v>39</v>
      </c>
      <c r="P81" s="55" t="n">
        <f aca="false">IF(O81=0,0,IFERROR(INDEX(Rate_Table,O81,COUNTIF(Rate_Weights,"&lt;"&amp;N81)+1),0))</f>
        <v>6.8625</v>
      </c>
      <c r="Q81" s="55" t="n">
        <f aca="false">IF(P81&gt;0,P81*(1+INDEX(Dest_Fuel,O81))+INDEX(Dest_SMS,O81),0)</f>
        <v>6.8625</v>
      </c>
      <c r="R81" s="55" t="n">
        <f aca="false">IF(E81&gt;0,FF_Base+FF_Extra_Item*MAX(0,E81-2)+FF_Extra_5kg*ROUNDUP(MAX(0,N81-5)/5,0),0)</f>
        <v>0.65</v>
      </c>
      <c r="S81" s="55" t="n">
        <f aca="false">'Product &amp; Offers'!$E$14</f>
        <v>0.08</v>
      </c>
      <c r="T81" s="55" t="n">
        <f aca="false">I81*Stripe_Pct+Stripe_Fixed</f>
        <v>2.14406</v>
      </c>
      <c r="U81" s="55" t="n">
        <f aca="false">(Q81+R81+S81)*(FF_VAT_Mult-1)</f>
        <v>1.5185</v>
      </c>
      <c r="V81" s="55" t="n">
        <f aca="false">N(Countries!$F$32)</f>
        <v>15</v>
      </c>
      <c r="W81" s="55" t="n">
        <f aca="false">Fixed_Per_Order</f>
        <v>1.5844</v>
      </c>
      <c r="X81" s="56" t="n">
        <f aca="false">N(Countries!$G$32)</f>
        <v>0.03</v>
      </c>
      <c r="Y81" s="55" t="n">
        <f aca="false">X81*(L81-M81*P_Resell+(IF(Card_Ret_Label="Yes",Q81,0)+FF_Reverse)*FF_VAT_Mult)</f>
        <v>0.745255609756098</v>
      </c>
      <c r="Z81" s="55" t="n">
        <f aca="false">M81+Q81+R81+S81+T81+U81+V81+W81+Y81</f>
        <v>33.9647156097561</v>
      </c>
      <c r="AA81" s="53" t="str">
        <f aca="false">IF(E81=0,"",IF(NOT(ISNUMBER(Countries!$C$32)),"enter price",IF(O81=0,"pick courier",IF(P81=0,"too heavy","OK"))))</f>
        <v>OK</v>
      </c>
      <c r="AB81" s="55" t="n">
        <f aca="false">IF(AA81="OK",L81-Z81,"")</f>
        <v>-5.59886195121951</v>
      </c>
      <c r="AC81" s="56" t="n">
        <f aca="false">IF(ISNUMBER(AB81),IF(L81&gt;0,AB81/L81,0),"")</f>
        <v>-0.197380343938091</v>
      </c>
      <c r="AD81" s="55" t="n">
        <f aca="false">IF(ISNUMBER(AB81),AB81+V81,"")</f>
        <v>9.40113804878049</v>
      </c>
      <c r="AE81" s="58" t="n">
        <f aca="false">IF(ISNUMBER(AD81),IF(AD81&gt;0,I81/AD81,"never"),"")</f>
        <v>3.71125280992187</v>
      </c>
    </row>
    <row r="82" customFormat="false" ht="15" hidden="false" customHeight="false" outlineLevel="0" collapsed="false">
      <c r="A82" s="53" t="str">
        <f aca="false">Countries!$A$32</f>
        <v>Ireland</v>
      </c>
      <c r="B82" s="54" t="n">
        <v>2</v>
      </c>
      <c r="C82" s="53" t="str">
        <f aca="false">'Product &amp; Offers'!$B$15</f>
        <v>Buy 2 Get 1 Free</v>
      </c>
      <c r="D82" s="53" t="str">
        <f aca="false">Countries!$B$32</f>
        <v>Fastway</v>
      </c>
      <c r="E82" s="54" t="n">
        <f aca="false">'Product &amp; Offers'!$C$15+'Product &amp; Offers'!$D$15</f>
        <v>3</v>
      </c>
      <c r="F82" s="55" t="n">
        <f aca="false">N(Countries!$C$32)</f>
        <v>29.9</v>
      </c>
      <c r="G82" s="55" t="n">
        <f aca="false">'Product &amp; Offers'!$C$15*F82</f>
        <v>59.8</v>
      </c>
      <c r="H82" s="55" t="n">
        <f aca="false">IF(AND(ISNUMBER(Countries!$E$32),G82&gt;=Countries!$E$32),0,N(Countries!$D$32))</f>
        <v>0</v>
      </c>
      <c r="I82" s="55" t="n">
        <f aca="false">G82+H82</f>
        <v>59.8</v>
      </c>
      <c r="J82" s="56" t="n">
        <f aca="false">IF(VAT_On_Sales="Yes",IFERROR(INDEX(VAT_Rate,MATCH(A82,VAT_Country,0)),0),0)</f>
        <v>0.23</v>
      </c>
      <c r="K82" s="55" t="n">
        <f aca="false">I82-I82/(1+J82)</f>
        <v>11.1821138211382</v>
      </c>
      <c r="L82" s="55" t="n">
        <f aca="false">I82-K82</f>
        <v>48.6178861788618</v>
      </c>
      <c r="M82" s="55" t="n">
        <f aca="false">E82*P_Landed</f>
        <v>16.14</v>
      </c>
      <c r="N82" s="57" t="n">
        <f aca="false">E82*P_Weight+P_PackW</f>
        <v>0.8</v>
      </c>
      <c r="O82" s="54" t="n">
        <f aca="false">IFERROR(MATCH(1,INDEX((Dest_Country=A82)*(Dest_Courier=D82),0),0),0)</f>
        <v>39</v>
      </c>
      <c r="P82" s="55" t="n">
        <f aca="false">IF(O82=0,0,IFERROR(INDEX(Rate_Table,O82,COUNTIF(Rate_Weights,"&lt;"&amp;N82)+1),0))</f>
        <v>8.15</v>
      </c>
      <c r="Q82" s="55" t="n">
        <f aca="false">IF(P82&gt;0,P82*(1+INDEX(Dest_Fuel,O82))+INDEX(Dest_SMS,O82),0)</f>
        <v>8.15</v>
      </c>
      <c r="R82" s="55" t="n">
        <f aca="false">IF(E82&gt;0,FF_Base+FF_Extra_Item*MAX(0,E82-2)+FF_Extra_5kg*ROUNDUP(MAX(0,N82-5)/5,0),0)</f>
        <v>1</v>
      </c>
      <c r="S82" s="55" t="n">
        <f aca="false">'Product &amp; Offers'!$E$15</f>
        <v>0.13</v>
      </c>
      <c r="T82" s="55" t="n">
        <f aca="false">I82*Stripe_Pct+Stripe_Fixed</f>
        <v>3.4892</v>
      </c>
      <c r="U82" s="55" t="n">
        <f aca="false">(Q82+R82+S82)*(FF_VAT_Mult-1)</f>
        <v>1.856</v>
      </c>
      <c r="V82" s="55" t="n">
        <f aca="false">N(Countries!$F$32)</f>
        <v>15</v>
      </c>
      <c r="W82" s="55" t="n">
        <f aca="false">Fixed_Per_Order</f>
        <v>1.5844</v>
      </c>
      <c r="X82" s="56" t="n">
        <f aca="false">N(Countries!$G$32)</f>
        <v>0.03</v>
      </c>
      <c r="Y82" s="55" t="n">
        <f aca="false">X82*(L82-M82*P_Resell+(IF(Card_Ret_Label="Yes",Q82,0)+FF_Reverse)*FF_VAT_Mult)</f>
        <v>1.09457658536585</v>
      </c>
      <c r="Z82" s="55" t="n">
        <f aca="false">M82+Q82+R82+S82+T82+U82+V82+W82+Y82</f>
        <v>48.4441765853659</v>
      </c>
      <c r="AA82" s="53" t="str">
        <f aca="false">IF(E82=0,"",IF(NOT(ISNUMBER(Countries!$C$32)),"enter price",IF(O82=0,"pick courier",IF(P82=0,"too heavy","OK"))))</f>
        <v>OK</v>
      </c>
      <c r="AB82" s="55" t="n">
        <f aca="false">IF(AA82="OK",L82-Z82,"")</f>
        <v>0.173709593495936</v>
      </c>
      <c r="AC82" s="56" t="n">
        <f aca="false">IF(ISNUMBER(AB82),IF(L82&gt;0,AB82/L82,0),"")</f>
        <v>0.00357295652173914</v>
      </c>
      <c r="AD82" s="55" t="n">
        <f aca="false">IF(ISNUMBER(AB82),AB82+V82,"")</f>
        <v>15.1737095934959</v>
      </c>
      <c r="AE82" s="58" t="n">
        <f aca="false">IF(ISNUMBER(AD82),IF(AD82&gt;0,I82/AD82,"never"),"")</f>
        <v>3.94102705284624</v>
      </c>
    </row>
    <row r="83" customFormat="false" ht="15" hidden="false" customHeight="false" outlineLevel="0" collapsed="false">
      <c r="A83" s="53" t="str">
        <f aca="false">Countries!$A$32</f>
        <v>Ireland</v>
      </c>
      <c r="B83" s="54" t="n">
        <v>3</v>
      </c>
      <c r="C83" s="53" t="str">
        <f aca="false">'Product &amp; Offers'!$B$16</f>
        <v>Buy 1 Get 1 Free</v>
      </c>
      <c r="D83" s="53" t="str">
        <f aca="false">Countries!$B$32</f>
        <v>Fastway</v>
      </c>
      <c r="E83" s="54" t="n">
        <f aca="false">'Product &amp; Offers'!$C$16+'Product &amp; Offers'!$D$16</f>
        <v>2</v>
      </c>
      <c r="F83" s="55" t="n">
        <f aca="false">N(Countries!$C$32)</f>
        <v>29.9</v>
      </c>
      <c r="G83" s="55" t="n">
        <f aca="false">'Product &amp; Offers'!$C$16*F83</f>
        <v>29.9</v>
      </c>
      <c r="H83" s="55" t="n">
        <f aca="false">IF(AND(ISNUMBER(Countries!$E$32),G83&gt;=Countries!$E$32),0,N(Countries!$D$32))</f>
        <v>4.99</v>
      </c>
      <c r="I83" s="55" t="n">
        <f aca="false">G83+H83</f>
        <v>34.89</v>
      </c>
      <c r="J83" s="56" t="n">
        <f aca="false">IF(VAT_On_Sales="Yes",IFERROR(INDEX(VAT_Rate,MATCH(A83,VAT_Country,0)),0),0)</f>
        <v>0.23</v>
      </c>
      <c r="K83" s="55" t="n">
        <f aca="false">I83-I83/(1+J83)</f>
        <v>6.52414634146341</v>
      </c>
      <c r="L83" s="55" t="n">
        <f aca="false">I83-K83</f>
        <v>28.3658536585366</v>
      </c>
      <c r="M83" s="55" t="n">
        <f aca="false">E83*P_Landed</f>
        <v>10.76</v>
      </c>
      <c r="N83" s="57" t="n">
        <f aca="false">E83*P_Weight+P_PackW</f>
        <v>0.55</v>
      </c>
      <c r="O83" s="54" t="n">
        <f aca="false">IFERROR(MATCH(1,INDEX((Dest_Country=A83)*(Dest_Courier=D83),0),0),0)</f>
        <v>39</v>
      </c>
      <c r="P83" s="55" t="n">
        <f aca="false">IF(O83=0,0,IFERROR(INDEX(Rate_Table,O83,COUNTIF(Rate_Weights,"&lt;"&amp;N83)+1),0))</f>
        <v>8.15</v>
      </c>
      <c r="Q83" s="55" t="n">
        <f aca="false">IF(P83&gt;0,P83*(1+INDEX(Dest_Fuel,O83))+INDEX(Dest_SMS,O83),0)</f>
        <v>8.15</v>
      </c>
      <c r="R83" s="55" t="n">
        <f aca="false">IF(E83&gt;0,FF_Base+FF_Extra_Item*MAX(0,E83-2)+FF_Extra_5kg*ROUNDUP(MAX(0,N83-5)/5,0),0)</f>
        <v>0.65</v>
      </c>
      <c r="S83" s="55" t="n">
        <f aca="false">'Product &amp; Offers'!$E$16</f>
        <v>0.08</v>
      </c>
      <c r="T83" s="55" t="n">
        <f aca="false">I83*Stripe_Pct+Stripe_Fixed</f>
        <v>2.14406</v>
      </c>
      <c r="U83" s="55" t="n">
        <f aca="false">(Q83+R83+S83)*(FF_VAT_Mult-1)</f>
        <v>1.776</v>
      </c>
      <c r="V83" s="55" t="n">
        <f aca="false">N(Countries!$F$32)</f>
        <v>15</v>
      </c>
      <c r="W83" s="55" t="n">
        <f aca="false">Fixed_Per_Order</f>
        <v>1.5844</v>
      </c>
      <c r="X83" s="56" t="n">
        <f aca="false">N(Countries!$G$32)</f>
        <v>0.03</v>
      </c>
      <c r="Y83" s="55" t="n">
        <f aca="false">X83*(L83-M83*P_Resell+(IF(Card_Ret_Label="Yes",Q83,0)+FF_Reverse)*FF_VAT_Mult)</f>
        <v>0.616135609756098</v>
      </c>
      <c r="Z83" s="55" t="n">
        <f aca="false">M83+Q83+R83+S83+T83+U83+V83+W83+Y83</f>
        <v>40.7605956097561</v>
      </c>
      <c r="AA83" s="53" t="str">
        <f aca="false">IF(E83=0,"",IF(NOT(ISNUMBER(Countries!$C$32)),"enter price",IF(O83=0,"pick courier",IF(P83=0,"too heavy","OK"))))</f>
        <v>OK</v>
      </c>
      <c r="AB83" s="55" t="n">
        <f aca="false">IF(AA83="OK",L83-Z83,"")</f>
        <v>-12.3947419512195</v>
      </c>
      <c r="AC83" s="56" t="n">
        <f aca="false">IF(ISNUMBER(AB83),IF(L83&gt;0,AB83/L83,0),"")</f>
        <v>-0.436959948409286</v>
      </c>
      <c r="AD83" s="55" t="n">
        <f aca="false">IF(ISNUMBER(AB83),AB83+V83,"")</f>
        <v>2.60525804878049</v>
      </c>
      <c r="AE83" s="58" t="n">
        <f aca="false">IF(ISNUMBER(AD83),IF(AD83&gt;0,I83/AD83,"never"),"")</f>
        <v>13.3921474751155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2026-10-06T14:58:44Z</dcterms:created>
  <dc:creator>openpyxl</dc:creator>
  <dc:description/>
  <dc:language>en-US</dc:language>
  <cp:lastModifiedBy/>
  <dcterms:modified xsi:type="dcterms:W3CDTF">2026-10-06T14:58:45Z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
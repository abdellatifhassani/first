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ffers" sheetId="1" state="visible" r:id="rId3"/>
    <sheet name="Settings" sheetId="2" state="visible" r:id="rId4"/>
    <sheet name="Shipping Rates" sheetId="3" state="visible" r:id="rId5"/>
    <sheet name="VAT Rates" sheetId="4" state="visible" r:id="rId6"/>
    <sheet name="Guide" sheetId="5" state="visible" r:id="rId7"/>
  </sheets>
  <definedNames>
    <definedName function="false" hidden="false" name="Dest_CODmin" vbProcedure="false">'Shipping Rates'!$J$5:$J$50</definedName>
    <definedName function="false" hidden="false" name="Dest_CODok" vbProcedure="false">'Shipping Rates'!$H$5:$H$50</definedName>
    <definedName function="false" hidden="false" name="Dest_CODpct" vbProcedure="false">'Shipping Rates'!$I$5:$I$50</definedName>
    <definedName function="false" hidden="false" name="Dest_Country" vbProcedure="false">'Shipping Rates'!$B$5:$B$50</definedName>
    <definedName function="false" hidden="false" name="Dest_Fuel" vbProcedure="false">'Shipping Rates'!$F$5:$F$50</definedName>
    <definedName function="false" hidden="false" name="Dest_List" vbProcedure="false">'Shipping Rates'!$A$5:$A$50</definedName>
    <definedName function="false" hidden="false" name="Dest_SMS" vbProcedure="false">'Shipping Rates'!$G$5:$G$50</definedName>
    <definedName function="false" hidden="false" name="Dest_VolDiv" vbProcedure="false">'Shipping Rates'!$E$5:$E$50</definedName>
    <definedName function="false" hidden="false" name="FF_Accept_Big" vbProcedure="false">Settings!$C$31</definedName>
    <definedName function="false" hidden="false" name="FF_Accept_Small" vbProcedure="false">Settings!$C$30</definedName>
    <definedName function="false" hidden="false" name="FF_Base" vbProcedure="false">Settings!$C$25</definedName>
    <definedName function="false" hidden="false" name="FF_Extra_5kg" vbProcedure="false">Settings!$C$29</definedName>
    <definedName function="false" hidden="false" name="FF_Extra_Item" vbProcedure="false">Settings!$C$27</definedName>
    <definedName function="false" hidden="false" name="FF_Items_Incl" vbProcedure="false">Settings!$C$26</definedName>
    <definedName function="false" hidden="false" name="FF_Kg_Incl" vbProcedure="false">Settings!$C$28</definedName>
    <definedName function="false" hidden="false" name="FF_Reverse" vbProcedure="false">Settings!$C$32</definedName>
    <definedName function="false" hidden="false" name="FF_VAT_Mult" vbProcedure="false">Settings!$C$22</definedName>
    <definedName function="false" hidden="false" name="FF_VAT_Rate" vbProcedure="false">Settings!$C$20</definedName>
    <definedName function="false" hidden="false" name="FF_VAT_Reclaim" vbProcedure="false">Settings!$C$21</definedName>
    <definedName function="false" hidden="false" name="Fixed_Month" vbProcedure="false">Settings!$C$46</definedName>
    <definedName function="false" hidden="false" name="Fixed_Per_Order" vbProcedure="false">Settings!$C$48</definedName>
    <definedName function="false" hidden="false" name="Include_Fixed" vbProcedure="false">Settings!$C$47</definedName>
    <definedName function="false" hidden="false" name="Orders_Month" vbProcedure="false">Settings!$C$36</definedName>
    <definedName function="false" hidden="false" name="Other_Fixed" vbProcedure="false">Settings!$C$44</definedName>
    <definedName function="false" hidden="false" name="Pallets" vbProcedure="false">Settings!$C$37</definedName>
    <definedName function="false" hidden="false" name="Pay_Extra_Pct" vbProcedure="false">Settings!$C$7</definedName>
    <definedName function="false" hidden="false" name="Platform_Fee" vbProcedure="false">Settings!$C$43</definedName>
    <definedName function="false" hidden="false" name="PP_Locations" vbProcedure="false">Settings!$C$41</definedName>
    <definedName function="false" hidden="false" name="PP_Price" vbProcedure="false">Settings!$C$42</definedName>
    <definedName function="false" hidden="false" name="Rate_Table" vbProcedure="false">'Shipping Rates'!$K$5:$AP$50</definedName>
    <definedName function="false" hidden="false" name="Rate_Weights" vbProcedure="false">'Shipping Rates'!$K$4:$AP$4</definedName>
    <definedName function="false" hidden="false" name="Storage_Min" vbProcedure="false">Settings!$C$39</definedName>
    <definedName function="false" hidden="false" name="Storage_Min_Orders" vbProcedure="false">Settings!$C$40</definedName>
    <definedName function="false" hidden="false" name="Storage_Pallet" vbProcedure="false">Settings!$C$38</definedName>
    <definedName function="false" hidden="false" name="Stripe_Choice" vbProcedure="false">Settings!$C$6</definedName>
    <definedName function="false" hidden="false" name="Stripe_Fixed" vbProcedure="false">Settings!$C$9</definedName>
    <definedName function="false" hidden="false" name="Stripe_Fix_List" vbProcedure="false">Settings!$D$12:$D$16</definedName>
    <definedName function="false" hidden="false" name="Stripe_Names" vbProcedure="false">Settings!$B$12:$B$16</definedName>
    <definedName function="false" hidden="false" name="Stripe_Pct" vbProcedure="false">Settings!$C$8</definedName>
    <definedName function="false" hidden="false" name="Stripe_Pct_List" vbProcedure="false">Settings!$C$12:$C$16</definedName>
    <definedName function="false" hidden="false" name="Target_Margin" vbProcedure="false">Settings!$C$51</definedName>
    <definedName function="false" hidden="false" name="VAT_Country" vbProcedure="false">'VAT Rates'!$A$5:$A$31</definedName>
    <definedName function="false" hidden="false" name="VAT_On_Sales" vbProcedure="false">Settings!$C$19</definedName>
    <definedName function="false" hidden="false" name="VAT_Rate" vbProcedure="false">'VAT Rates'!$E$5:$E$31</definedName>
    <definedName function="false" hidden="false" name="WH_Month" vbProcedure="false">Settings!$C$45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<sst xmlns="http://schemas.openxmlformats.org/spreadsheetml/2006/main" count="524" uniqueCount="374">
  <si>
    <t xml:space="preserve">Offer profit calculator: per order, in €</t>
  </si>
  <si>
    <t xml:space="preserve">Fill the yellow cells (blue text) for each offer, one column per offer. Black cells are calculated. Shared settings (Stripe, VAT, warehouse) are on the 'Settings' tab.</t>
  </si>
  <si>
    <t xml:space="preserve">Offer #</t>
  </si>
  <si>
    <t xml:space="preserve">What it means</t>
  </si>
  <si>
    <t xml:space="preserve">Offer 1</t>
  </si>
  <si>
    <t xml:space="preserve">Offer 2</t>
  </si>
  <si>
    <t xml:space="preserve">Offer 3</t>
  </si>
  <si>
    <t xml:space="preserve">Offer 4</t>
  </si>
  <si>
    <t xml:space="preserve">Offer 5</t>
  </si>
  <si>
    <t xml:space="preserve">Offer 6</t>
  </si>
  <si>
    <t xml:space="preserve">OFFER SET-UP (your inputs)</t>
  </si>
  <si>
    <t xml:space="preserve">Offer name</t>
  </si>
  <si>
    <t xml:space="preserve">Free text, e.g. 'Buy 2 Get 1 Free'.</t>
  </si>
  <si>
    <t xml:space="preserve">1 unit</t>
  </si>
  <si>
    <t xml:space="preserve">Buy 1 Get 1 Free</t>
  </si>
  <si>
    <t xml:space="preserve">Buy 2 Get 1 Free</t>
  </si>
  <si>
    <t xml:space="preserve">3-pack bundle €59</t>
  </si>
  <si>
    <t xml:space="preserve">2nd unit 50% off</t>
  </si>
  <si>
    <t xml:space="preserve">1 unit – COD Bulgaria</t>
  </si>
  <si>
    <t xml:space="preserve">Destination country – courier</t>
  </si>
  <si>
    <t xml:space="preserve">Pick from the list (from the 'Shipping Rates' tab).</t>
  </si>
  <si>
    <t xml:space="preserve">Romania – Sameday RO</t>
  </si>
  <si>
    <t xml:space="preserve">Bulgaria – Econt Home</t>
  </si>
  <si>
    <t xml:space="preserve">Payment method</t>
  </si>
  <si>
    <t xml:space="preserve">Card (Stripe) or COD (cash on delivery, courier fee from the offer).</t>
  </si>
  <si>
    <t xml:space="preserve">Card (Stripe)</t>
  </si>
  <si>
    <t xml:space="preserve">COD</t>
  </si>
  <si>
    <t xml:space="preserve">Units the customer pays for</t>
  </si>
  <si>
    <t xml:space="preserve">BOGO = 1, Buy 2 Get 1 = 2, 3-pack = 3.</t>
  </si>
  <si>
    <t xml:space="preserve">Free units</t>
  </si>
  <si>
    <t xml:space="preserve">BOGO = 1, Buy 2 Get 1 = 1.</t>
  </si>
  <si>
    <t xml:space="preserve">Price per paid unit (incl. VAT)</t>
  </si>
  <si>
    <t xml:space="preserve">What the customer sees on the product page.</t>
  </si>
  <si>
    <t xml:space="preserve">Extra discount on the order (%)</t>
  </si>
  <si>
    <t xml:space="preserve">e.g. 25% for '2nd unit 50% off' on 2 units. 0 if none.</t>
  </si>
  <si>
    <t xml:space="preserve">Bundle price (optional, incl. VAT)</t>
  </si>
  <si>
    <t xml:space="preserve">Fixed bundle price, e.g. '3 for €59'. Replaces the 3 rows above.</t>
  </si>
  <si>
    <t xml:space="preserve">Shipping fee charged to customer (incl. VAT)</t>
  </si>
  <si>
    <t xml:space="preserve">What you charge for delivery when it isn't free.</t>
  </si>
  <si>
    <t xml:space="preserve">Free shipping from order value (€)</t>
  </si>
  <si>
    <t xml:space="preserve">Blank = never free. 0 = always free.</t>
  </si>
  <si>
    <t xml:space="preserve">Product cost per unit</t>
  </si>
  <si>
    <t xml:space="preserve">Supplier price per unit.</t>
  </si>
  <si>
    <t xml:space="preserve">Freight + duties to warehouse, per unit</t>
  </si>
  <si>
    <t xml:space="preserve">Shipping from supplier to Ruse, customs duty, etc., per unit.</t>
  </si>
  <si>
    <t xml:space="preserve">Weight per unit (kg)</t>
  </si>
  <si>
    <t xml:space="preserve">Product incl. its own packaging.</t>
  </si>
  <si>
    <t xml:space="preserve">Shipping packaging weight per order (kg)</t>
  </si>
  <si>
    <t xml:space="preserve">Flyer bag / box.</t>
  </si>
  <si>
    <t xml:space="preserve">Parcel length (cm, optional)</t>
  </si>
  <si>
    <t xml:space="preserve">Fill L, W, H only if the parcel is bulky (volumetric weight).</t>
  </si>
  <si>
    <t xml:space="preserve">Parcel width (cm, optional)</t>
  </si>
  <si>
    <t xml:space="preserve">Parcel height (cm, optional)</t>
  </si>
  <si>
    <t xml:space="preserve">Packaging cost per order</t>
  </si>
  <si>
    <t xml:space="preserve">Flyer bag A4 €0.08 / A3 €0.13, or your box.</t>
  </si>
  <si>
    <t xml:space="preserve">Cost per result (ad cost per purchase)</t>
  </si>
  <si>
    <t xml:space="preserve">From Ads Manager, per order (not per unit).</t>
  </si>
  <si>
    <t xml:space="preserve">Refund / return / refused rate</t>
  </si>
  <si>
    <t xml:space="preserve">Card: refunds &amp; returns (~2–5%). COD: refused parcels (often 10–25%).</t>
  </si>
  <si>
    <t xml:space="preserve">% of returned goods you can resell</t>
  </si>
  <si>
    <t xml:space="preserve">100% = everything goes back to stock.</t>
  </si>
  <si>
    <t xml:space="preserve">Return shipping you pay (per returned order)</t>
  </si>
  <si>
    <t xml:space="preserve">0 if the customer pays. Refused COD parcels: courier tariff.</t>
  </si>
  <si>
    <t xml:space="preserve">REVENUE</t>
  </si>
  <si>
    <t xml:space="preserve">Units shipped</t>
  </si>
  <si>
    <t xml:space="preserve">Paid + free units.</t>
  </si>
  <si>
    <t xml:space="preserve">Products total (incl. VAT)</t>
  </si>
  <si>
    <t xml:space="preserve">Bundle price, or paid units × price × (1 – discount).</t>
  </si>
  <si>
    <t xml:space="preserve">Shipping charged (incl. VAT)</t>
  </si>
  <si>
    <t xml:space="preserve">0 when the order reaches the free-shipping threshold.</t>
  </si>
  <si>
    <t xml:space="preserve">Customer pays (AOV, incl. VAT)</t>
  </si>
  <si>
    <t xml:space="preserve">Total charged to the customer.</t>
  </si>
  <si>
    <t xml:space="preserve">Customer pays per unit</t>
  </si>
  <si>
    <t xml:space="preserve">Effective discount vs. 1 unit at full price</t>
  </si>
  <si>
    <t xml:space="preserve">How generous the offer really is.</t>
  </si>
  <si>
    <t xml:space="preserve">Destination country</t>
  </si>
  <si>
    <t xml:space="preserve">VAT rate applied</t>
  </si>
  <si>
    <t xml:space="preserve">From the 'VAT Rates' tab (0 if VAT is switched off in Settings).</t>
  </si>
  <si>
    <t xml:space="preserve">VAT you pay to the tax office</t>
  </si>
  <si>
    <t xml:space="preserve">Revenue excl. VAT</t>
  </si>
  <si>
    <t xml:space="preserve">COSTS PER ORDER</t>
  </si>
  <si>
    <t xml:space="preserve">Inbound acceptance fee per unit</t>
  </si>
  <si>
    <t xml:space="preserve">From Settings: depends on unit weight (≤ / &gt; 0.25 kg).</t>
  </si>
  <si>
    <t xml:space="preserve">Product cost (landed)</t>
  </si>
  <si>
    <t xml:space="preserve">Units × (cost + freight + acceptance fee).</t>
  </si>
  <si>
    <t xml:space="preserve">Actual parcel weight</t>
  </si>
  <si>
    <t xml:space="preserve">Units × unit weight + packaging.</t>
  </si>
  <si>
    <t xml:space="preserve">Volumetric weight</t>
  </si>
  <si>
    <t xml:space="preserve">L × W × H ÷ courier divisor (only if L, W, H filled).</t>
  </si>
  <si>
    <t xml:space="preserve">Chargeable weight</t>
  </si>
  <si>
    <t xml:space="preserve">The higher of the two.</t>
  </si>
  <si>
    <t xml:space="preserve">Courier price (excl. VAT)</t>
  </si>
  <si>
    <t xml:space="preserve">From 'Shipping Rates': first bracket ≥ chargeable weight.</t>
  </si>
  <si>
    <t xml:space="preserve">Courier price + fuel + SMS</t>
  </si>
  <si>
    <t xml:space="preserve">Courier price × (1 + fuel surcharge) + SMS/email fee.</t>
  </si>
  <si>
    <t xml:space="preserve">Fulfilment fee</t>
  </si>
  <si>
    <t xml:space="preserve">Base fee + extra items above 2 + extra 5 kg steps above 5 kg.</t>
  </si>
  <si>
    <t xml:space="preserve">Packaging</t>
  </si>
  <si>
    <t xml:space="preserve">Payment fee (Stripe or COD)</t>
  </si>
  <si>
    <t xml:space="preserve">Stripe: AOV × % + fixed. COD: courier COD fee, only on delivered parcels.</t>
  </si>
  <si>
    <t xml:space="preserve">Non-reclaimable VAT on fulfilment invoices</t>
  </si>
  <si>
    <t xml:space="preserve">20% on courier + fulfilment + packaging (+ COD fee) if you can't reclaim it.</t>
  </si>
  <si>
    <t xml:space="preserve">Ad cost (cost per result)</t>
  </si>
  <si>
    <t xml:space="preserve">Share of monthly fixed costs</t>
  </si>
  <si>
    <t xml:space="preserve">Settings → total fixed per month ÷ expected orders.</t>
  </si>
  <si>
    <t xml:space="preserve">Refunds / returns (expected cost)</t>
  </si>
  <si>
    <t xml:space="preserve">Rate × (lost revenue – resold goods + return shipping + reverse fulfilment).</t>
  </si>
  <si>
    <t xml:space="preserve">Total costs</t>
  </si>
  <si>
    <t xml:space="preserve">RESULT</t>
  </si>
  <si>
    <t xml:space="preserve">NET PROFIT PER ORDER</t>
  </si>
  <si>
    <t xml:space="preserve">Revenue excl. VAT – total costs.</t>
  </si>
  <si>
    <t xml:space="preserve">Net margin (% of revenue excl. VAT)</t>
  </si>
  <si>
    <t xml:space="preserve">Profit per unit shipped</t>
  </si>
  <si>
    <t xml:space="preserve">ROAS (AOV ÷ cost per result)</t>
  </si>
  <si>
    <t xml:space="preserve">Break-even cost per result</t>
  </si>
  <si>
    <t xml:space="preserve">Maximum you can pay per purchase before losing money.</t>
  </si>
  <si>
    <t xml:space="preserve">Break-even ROAS</t>
  </si>
  <si>
    <t xml:space="preserve">Below this ROAS you lose money.</t>
  </si>
  <si>
    <t xml:space="preserve">Max cost per result for target margin</t>
  </si>
  <si>
    <t xml:space="preserve">Settings → target margin.</t>
  </si>
  <si>
    <t xml:space="preserve">Monthly profit at expected orders</t>
  </si>
  <si>
    <t xml:space="preserve">Profit per order × expected orders per month (Settings).</t>
  </si>
  <si>
    <t xml:space="preserve">Warnings</t>
  </si>
  <si>
    <t xml:space="preserve">Legend</t>
  </si>
  <si>
    <t xml:space="preserve">Yellow cell + blue text = your input</t>
  </si>
  <si>
    <t xml:space="preserve">Green row = key result (cell turns green if profitable, red if losing money)</t>
  </si>
  <si>
    <t xml:space="preserve">Duplicate a column (copy C → I, etc.) to compare more offers.</t>
  </si>
  <si>
    <t xml:space="preserve">Settings: shared by every offer</t>
  </si>
  <si>
    <t xml:space="preserve">Yellow cells with blue text are inputs. All money in €. Fulfilment prices are excl. VAT (as in the offer).</t>
  </si>
  <si>
    <t xml:space="preserve">1. Card payments (Stripe)</t>
  </si>
  <si>
    <t xml:space="preserve">Which Stripe setup do you have?</t>
  </si>
  <si>
    <t xml:space="preserve">Stripe US account – EU cards, paid out in USD</t>
  </si>
  <si>
    <t xml:space="preserve">Pick from the table below. A US LLC with a US Stripe account pays the international-card and currency-conversion surcharges on EU customers, which roughly triples the fee.</t>
  </si>
  <si>
    <t xml:space="preserve">Extra % on each card order (Stripe Tax, platform fee, Radar…)</t>
  </si>
  <si>
    <t xml:space="preserve">e.g. Stripe Tax 0.5%, Shopify transaction fee when not using Shopify Payments (0.5–2%). 0 if none.</t>
  </si>
  <si>
    <t xml:space="preserve">→ % fee used</t>
  </si>
  <si>
    <t xml:space="preserve">→ Fixed fee used (€ per payment)</t>
  </si>
  <si>
    <t xml:space="preserve">Stripe setup (preset)</t>
  </si>
  <si>
    <t xml:space="preserve">% of order</t>
  </si>
  <si>
    <t xml:space="preserve">Fixed €</t>
  </si>
  <si>
    <t xml:space="preserve">How it's built (check stripe.com/pricing for your country)</t>
  </si>
  <si>
    <t xml:space="preserve">2.9% + $0.30 base, +1.5% international card, +1% currency conversion (EUR→USD). $0.30 ≈ €0.26.</t>
  </si>
  <si>
    <t xml:space="preserve">Stripe US account – EU cards, no conversion</t>
  </si>
  <si>
    <t xml:space="preserve">2.9% + $0.30, +1.5% international card. Only if you are paid out in EUR without conversion.</t>
  </si>
  <si>
    <t xml:space="preserve">Stripe EEA account – standard EEA cards</t>
  </si>
  <si>
    <t xml:space="preserve">Account opened by an EU company: 1.5% + €0.25 for standard consumer EEA cards.</t>
  </si>
  <si>
    <t xml:space="preserve">Stripe EEA account – premium EEA cards</t>
  </si>
  <si>
    <t xml:space="preserve">1.9% + €0.25 for premium consumer cards (EEA account).</t>
  </si>
  <si>
    <t xml:space="preserve">Custom</t>
  </si>
  <si>
    <t xml:space="preserve">Type your own numbers in the blue cells of this row.</t>
  </si>
  <si>
    <t xml:space="preserve">2. VAT</t>
  </si>
  <si>
    <t xml:space="preserve">Do your selling prices include VAT that you must pay over?</t>
  </si>
  <si>
    <t xml:space="preserve">Yes</t>
  </si>
  <si>
    <t xml:space="preserve">Yes = the price the customer pays includes destination-country VAT (from the 'VAT Rates' tab), which you pay to the tax office (BG VAT registration + OSS). The euShipments offer requires VAT registration. Set No only to see profit before VAT.</t>
  </si>
  <si>
    <t xml:space="preserve">VAT the fulfilment company adds to its invoices</t>
  </si>
  <si>
    <t xml:space="preserve">Bulgarian VAT is 20%. The offer prices are excl. VAT.</t>
  </si>
  <si>
    <t xml:space="preserve">Can you reclaim that VAT?</t>
  </si>
  <si>
    <t xml:space="preserve">No</t>
  </si>
  <si>
    <t xml:space="preserve">No = the 20% is a real cost (safe default). Yes = you are VAT-registered in Bulgaria and deduct it, or euShipments invoices your LLC without VAT (reverse charge). Ask your accountant.</t>
  </si>
  <si>
    <t xml:space="preserve">→ Multiplier on fulfilment &amp; courier costs</t>
  </si>
  <si>
    <t xml:space="preserve">3. Fulfilment fees (euShipments, Ruse) – € excl. VAT</t>
  </si>
  <si>
    <t xml:space="preserve">Order fulfilment (pick &amp; pack, label)</t>
  </si>
  <si>
    <t xml:space="preserve">Per order, covers up to 2 items and 5 kg.</t>
  </si>
  <si>
    <t xml:space="preserve">Items included in the base fee</t>
  </si>
  <si>
    <t xml:space="preserve">Each extra item in the order</t>
  </si>
  <si>
    <t xml:space="preserve">So a 'buy 2 get 1 free' order (3 items) pays one extra item fee.</t>
  </si>
  <si>
    <t xml:space="preserve">Weight included in the base fee (kg)</t>
  </si>
  <si>
    <t xml:space="preserve">Fee per extra 5 kg</t>
  </si>
  <si>
    <t xml:space="preserve">Inbound acceptance per item ≤ 0.25 kg</t>
  </si>
  <si>
    <t xml:space="preserve">Paid once per unit when your stock arrives; added to the unit's landed cost.</t>
  </si>
  <si>
    <t xml:space="preserve">Inbound acceptance per item &gt; 0.25 kg</t>
  </si>
  <si>
    <t xml:space="preserve">Reverse fulfilment (per returned order)</t>
  </si>
  <si>
    <t xml:space="preserve">Receiving a return, quality check, back to stock.</t>
  </si>
  <si>
    <t xml:space="preserve">Flyer bag A4 / A3 (reference)</t>
  </si>
  <si>
    <t xml:space="preserve">0.08 / 0.13</t>
  </si>
  <si>
    <t xml:space="preserve">Type the bag price per order in the 'Packaging' row of each offer.</t>
  </si>
  <si>
    <t xml:space="preserve">4. Monthly fixed costs (spread over your orders)</t>
  </si>
  <si>
    <t xml:space="preserve">Expected orders per month</t>
  </si>
  <si>
    <t xml:space="preserve">Used to spread the fixed costs below over each order.</t>
  </si>
  <si>
    <t xml:space="preserve">Pallets of stock in the warehouse</t>
  </si>
  <si>
    <t xml:space="preserve">Storage per pallet per month</t>
  </si>
  <si>
    <t xml:space="preserve">Minimum storage charge per month</t>
  </si>
  <si>
    <t xml:space="preserve">Charged when you ship fewer than the threshold below.</t>
  </si>
  <si>
    <t xml:space="preserve">Orders per month to avoid the minimum</t>
  </si>
  <si>
    <t xml:space="preserve">Pick &amp; pack locations (≈ number of SKUs)</t>
  </si>
  <si>
    <t xml:space="preserve">Price per pick &amp; pack location per month</t>
  </si>
  <si>
    <t xml:space="preserve">Store platform subscription (Shopify, etc.)</t>
  </si>
  <si>
    <t xml:space="preserve">Your own number. Not subject to the Bulgarian VAT multiplier.</t>
  </si>
  <si>
    <t xml:space="preserve">Other monthly costs (apps, tools, accountant…)</t>
  </si>
  <si>
    <t xml:space="preserve">→ Warehouse costs per month (incl. non-reclaimable VAT)</t>
  </si>
  <si>
    <t xml:space="preserve">→ Total fixed costs per month</t>
  </si>
  <si>
    <t xml:space="preserve">Include fixed costs in profit per order?</t>
  </si>
  <si>
    <t xml:space="preserve">No = see the pure per-order contribution.</t>
  </si>
  <si>
    <t xml:space="preserve">→ Fixed cost per order</t>
  </si>
  <si>
    <t xml:space="preserve">5. Targets</t>
  </si>
  <si>
    <t xml:space="preserve">Target net profit margin (% of revenue excl. VAT)</t>
  </si>
  <si>
    <t xml:space="preserve">Used for 'Max cost per result for target margin' on the Offers tab.</t>
  </si>
  <si>
    <t xml:space="preserve">Courier rates from the euShipments warehouse in Ruse (BG), € excl. VAT</t>
  </si>
  <si>
    <t xml:space="preserve">Source: euShipments offer 'Offer FF &amp; Deliveries from WH BG' (file dated 251024). Blue cells are inputs: update them when euShipments changes prices. Weight columns are 'up to X kg'. Blank = not offered. Where no 0.25/0.5 kg price is quoted, the 1 kg price is used.</t>
  </si>
  <si>
    <t xml:space="preserve">Price per shipment with weight up to →</t>
  </si>
  <si>
    <t xml:space="preserve">Destination (Country – Courier)</t>
  </si>
  <si>
    <t xml:space="preserve">Country</t>
  </si>
  <si>
    <t xml:space="preserve">Courier</t>
  </si>
  <si>
    <t xml:space="preserve">Transit from Ruse</t>
  </si>
  <si>
    <t xml:space="preserve">Volumetric divisor</t>
  </si>
  <si>
    <t xml:space="preserve">Fuel surcharge %</t>
  </si>
  <si>
    <t xml:space="preserve">SMS / email fee €</t>
  </si>
  <si>
    <t xml:space="preserve">COD offered?</t>
  </si>
  <si>
    <t xml:space="preserve">COD fee %</t>
  </si>
  <si>
    <t xml:space="preserve">COD min / fixed €</t>
  </si>
  <si>
    <t xml:space="preserve">Notes from the offer</t>
  </si>
  <si>
    <t xml:space="preserve">Romania – Cargus</t>
  </si>
  <si>
    <t xml:space="preserve">Romania</t>
  </si>
  <si>
    <t xml:space="preserve">Cargus</t>
  </si>
  <si>
    <t xml:space="preserve">1-2 business days</t>
  </si>
  <si>
    <t xml:space="preserve">Romania – FAN</t>
  </si>
  <si>
    <t xml:space="preserve">FAN</t>
  </si>
  <si>
    <t xml:space="preserve">Sameday RO</t>
  </si>
  <si>
    <t xml:space="preserve">Romania – EasyBox Locker</t>
  </si>
  <si>
    <t xml:space="preserve">EasyBox Locker</t>
  </si>
  <si>
    <t xml:space="preserve">Bulgaria – Sameday BG</t>
  </si>
  <si>
    <t xml:space="preserve">Bulgaria</t>
  </si>
  <si>
    <t xml:space="preserve">Sameday BG</t>
  </si>
  <si>
    <t xml:space="preserve">Bulgaria – EasyBox Locker</t>
  </si>
  <si>
    <t xml:space="preserve">Econt Home</t>
  </si>
  <si>
    <t xml:space="preserve">Change of delivery data: +€1.50</t>
  </si>
  <si>
    <t xml:space="preserve">Bulgaria – Econt PuDo</t>
  </si>
  <si>
    <t xml:space="preserve">Econt PuDo</t>
  </si>
  <si>
    <t xml:space="preserve">Greece – ACS</t>
  </si>
  <si>
    <t xml:space="preserve">Greece</t>
  </si>
  <si>
    <t xml:space="preserve">ACS</t>
  </si>
  <si>
    <t xml:space="preserve">2-4 business days</t>
  </si>
  <si>
    <t xml:space="preserve">Greece – Geniki</t>
  </si>
  <si>
    <t xml:space="preserve">Geniki</t>
  </si>
  <si>
    <t xml:space="preserve">Greece – Speedex</t>
  </si>
  <si>
    <t xml:space="preserve">Speedex</t>
  </si>
  <si>
    <t xml:space="preserve">Cyprus – Geniki</t>
  </si>
  <si>
    <t xml:space="preserve">Cyprus</t>
  </si>
  <si>
    <t xml:space="preserve">4-10 business days</t>
  </si>
  <si>
    <t xml:space="preserve">Hungary – GLS HU</t>
  </si>
  <si>
    <t xml:space="preserve">Hungary</t>
  </si>
  <si>
    <t xml:space="preserve">GLS HU</t>
  </si>
  <si>
    <t xml:space="preserve">2-3 business days</t>
  </si>
  <si>
    <t xml:space="preserve">COD: Tier for COD up to 20,000 HUF; higher amounts cost more (1.13 / 1.75 / 2.50 / 14.72)</t>
  </si>
  <si>
    <t xml:space="preserve">Hungary – GLS HU PuDo</t>
  </si>
  <si>
    <t xml:space="preserve">GLS HU PuDo</t>
  </si>
  <si>
    <t xml:space="preserve">Hungary – Sameday HU</t>
  </si>
  <si>
    <t xml:space="preserve">Sameday HU</t>
  </si>
  <si>
    <t xml:space="preserve">COD: Tier up to 50,000 HUF; 1.135 up to 100k, 1.29 up to 150k, 1.74 up to 500k HUF</t>
  </si>
  <si>
    <t xml:space="preserve">Hungary – ExpressOne HU</t>
  </si>
  <si>
    <t xml:space="preserve">ExpressOne HU</t>
  </si>
  <si>
    <t xml:space="preserve">Poland – InPost Home</t>
  </si>
  <si>
    <t xml:space="preserve">Poland</t>
  </si>
  <si>
    <t xml:space="preserve">InPost Home</t>
  </si>
  <si>
    <t xml:space="preserve">3-4 business days</t>
  </si>
  <si>
    <t xml:space="preserve">Poland – InPost Locker</t>
  </si>
  <si>
    <t xml:space="preserve">InPost Locker</t>
  </si>
  <si>
    <t xml:space="preserve">Czech Republic – PPL</t>
  </si>
  <si>
    <t xml:space="preserve">Czech Republic</t>
  </si>
  <si>
    <t xml:space="preserve">PPL</t>
  </si>
  <si>
    <t xml:space="preserve">Czech Republic – CZ Post</t>
  </si>
  <si>
    <t xml:space="preserve">CZ Post</t>
  </si>
  <si>
    <t xml:space="preserve">Slovakia – SPS</t>
  </si>
  <si>
    <t xml:space="preserve">Slovakia</t>
  </si>
  <si>
    <t xml:space="preserve">SPS</t>
  </si>
  <si>
    <t xml:space="preserve">Slovakia – GLS SK Home</t>
  </si>
  <si>
    <t xml:space="preserve">GLS SK Home</t>
  </si>
  <si>
    <t xml:space="preserve">COD: 0.70 below 830 EUR, 1.3% above</t>
  </si>
  <si>
    <t xml:space="preserve">Slovakia – GLS SK PuDo</t>
  </si>
  <si>
    <t xml:space="preserve">GLS SK PuDo</t>
  </si>
  <si>
    <t xml:space="preserve">Croatia – GLS HR</t>
  </si>
  <si>
    <t xml:space="preserve">Croatia</t>
  </si>
  <si>
    <t xml:space="preserve">GLS HR</t>
  </si>
  <si>
    <t xml:space="preserve">Croatia – GLS HR PuDo</t>
  </si>
  <si>
    <t xml:space="preserve">GLS HR PuDo</t>
  </si>
  <si>
    <t xml:space="preserve">Croatia – DPD HR</t>
  </si>
  <si>
    <t xml:space="preserve">DPD HR</t>
  </si>
  <si>
    <t xml:space="preserve">Islands: +30% on the shipping price</t>
  </si>
  <si>
    <t xml:space="preserve">Croatia – Overseas</t>
  </si>
  <si>
    <t xml:space="preserve">Overseas</t>
  </si>
  <si>
    <t xml:space="preserve">Islands: +40% on the shipping price</t>
  </si>
  <si>
    <t xml:space="preserve">Slovenia – DPD SI</t>
  </si>
  <si>
    <t xml:space="preserve">Slovenia</t>
  </si>
  <si>
    <t xml:space="preserve">DPD SI</t>
  </si>
  <si>
    <t xml:space="preserve">Slovenia – Posta Slovenje</t>
  </si>
  <si>
    <t xml:space="preserve">Posta Slovenje</t>
  </si>
  <si>
    <t xml:space="preserve">Italy – Poste Italiane</t>
  </si>
  <si>
    <t xml:space="preserve">Italy</t>
  </si>
  <si>
    <t xml:space="preserve">Poste Italiane</t>
  </si>
  <si>
    <t xml:space="preserve">4-7 business days</t>
  </si>
  <si>
    <t xml:space="preserve">Sardinia/Sicily/Calabria &amp; remote postcodes have surcharges; return = tariff + €1</t>
  </si>
  <si>
    <t xml:space="preserve">Austria – DPD AT</t>
  </si>
  <si>
    <t xml:space="preserve">Austria</t>
  </si>
  <si>
    <t xml:space="preserve">DPD AT</t>
  </si>
  <si>
    <t xml:space="preserve">5-6 business days</t>
  </si>
  <si>
    <t xml:space="preserve">Germany – Hermes</t>
  </si>
  <si>
    <t xml:space="preserve">Germany</t>
  </si>
  <si>
    <t xml:space="preserve">Hermes</t>
  </si>
  <si>
    <t xml:space="preserve">Lithuania – Venipak</t>
  </si>
  <si>
    <t xml:space="preserve">Lithuania</t>
  </si>
  <si>
    <t xml:space="preserve">Venipak</t>
  </si>
  <si>
    <t xml:space="preserve">5-7 business days</t>
  </si>
  <si>
    <t xml:space="preserve">Latvia – Venipak</t>
  </si>
  <si>
    <t xml:space="preserve">Latvia</t>
  </si>
  <si>
    <t xml:space="preserve">Estonia – Venipak</t>
  </si>
  <si>
    <t xml:space="preserve">Estonia</t>
  </si>
  <si>
    <t xml:space="preserve">Belgium – PostNL</t>
  </si>
  <si>
    <t xml:space="preserve">Belgium</t>
  </si>
  <si>
    <t xml:space="preserve">PostNL</t>
  </si>
  <si>
    <t xml:space="preserve">4-6 business days</t>
  </si>
  <si>
    <t xml:space="preserve">Denmark – PostNord</t>
  </si>
  <si>
    <t xml:space="preserve">Denmark</t>
  </si>
  <si>
    <t xml:space="preserve">PostNord</t>
  </si>
  <si>
    <t xml:space="preserve">6-11 bus.days</t>
  </si>
  <si>
    <t xml:space="preserve">Netherlands – PostNL</t>
  </si>
  <si>
    <t xml:space="preserve">Netherlands</t>
  </si>
  <si>
    <t xml:space="preserve">Luxembourg – PostNL</t>
  </si>
  <si>
    <t xml:space="preserve">Luxembourg</t>
  </si>
  <si>
    <t xml:space="preserve">Sweden – PostNord</t>
  </si>
  <si>
    <t xml:space="preserve">Sweden</t>
  </si>
  <si>
    <t xml:space="preserve">Finland – Posti</t>
  </si>
  <si>
    <t xml:space="preserve">Finland</t>
  </si>
  <si>
    <t xml:space="preserve">Posti</t>
  </si>
  <si>
    <t xml:space="preserve">France – ColisPrive</t>
  </si>
  <si>
    <t xml:space="preserve">France</t>
  </si>
  <si>
    <t xml:space="preserve">ColisPrive</t>
  </si>
  <si>
    <t xml:space="preserve">Malta – Malta Post</t>
  </si>
  <si>
    <t xml:space="preserve">Malta</t>
  </si>
  <si>
    <t xml:space="preserve">Malta Post</t>
  </si>
  <si>
    <t xml:space="preserve">Spain – CTT Express</t>
  </si>
  <si>
    <t xml:space="preserve">Spain</t>
  </si>
  <si>
    <t xml:space="preserve">CTT Express</t>
  </si>
  <si>
    <t xml:space="preserve">4-9 bus. days</t>
  </si>
  <si>
    <t xml:space="preserve">Portugal – CTT Express</t>
  </si>
  <si>
    <t xml:space="preserve">Portugal</t>
  </si>
  <si>
    <t xml:space="preserve">Ireland – Fastway</t>
  </si>
  <si>
    <t xml:space="preserve">Ireland</t>
  </si>
  <si>
    <t xml:space="preserve">Fastway</t>
  </si>
  <si>
    <t xml:space="preserve">VAT rates by destination country</t>
  </si>
  <si>
    <t xml:space="preserve">Standard rates as known in 2025–26: verify before relying on them. Food supplements and some other goods get a reduced rate in several countries. If yours does, type it in 'Your rate'.</t>
  </si>
  <si>
    <t xml:space="preserve">Standard VAT</t>
  </si>
  <si>
    <t xml:space="preserve">Your rate (optional override)</t>
  </si>
  <si>
    <t xml:space="preserve">Note</t>
  </si>
  <si>
    <t xml:space="preserve">Rate used</t>
  </si>
  <si>
    <t xml:space="preserve">21% since 1 Aug 2025</t>
  </si>
  <si>
    <t xml:space="preserve">23% since 1 Jan 2025</t>
  </si>
  <si>
    <t xml:space="preserve">24% since 1 Jul 2025</t>
  </si>
  <si>
    <t xml:space="preserve">25.5% since 1 Sep 2024</t>
  </si>
  <si>
    <t xml:space="preserve">Mainland rate</t>
  </si>
  <si>
    <t xml:space="preserve">How to use this calculator</t>
  </si>
  <si>
    <t xml:space="preserve">1. Settings tab: pick your Stripe setup, choose your VAT situation and set your expected monthly orders.</t>
  </si>
  <si>
    <t xml:space="preserve">2. Offers tab: one column per offer. Type the price, units paid / free, product cost, weight, cost per result, and choose the destination courier.</t>
  </si>
  <si>
    <t xml:space="preserve">3. Read the green RESULT block: net profit per order, break-even cost per result and break-even ROAS.</t>
  </si>
  <si>
    <t xml:space="preserve">Common offers</t>
  </si>
  <si>
    <t xml:space="preserve">Single unit: paid 1, free 0.   Buy 1 Get 1 Free: paid 1, free 1.   Buy 2 Get 1 Free: paid 2, free 1.</t>
  </si>
  <si>
    <t xml:space="preserve">Bundle '3 for €59': paid 3, free 0, bundle price 59.   '2nd unit 50% off': paid 2, extra discount 25%.</t>
  </si>
  <si>
    <t xml:space="preserve">Free shipping over €X: type X in 'Free shipping from order value'. Leave blank for never free, 0 for always free.</t>
  </si>
  <si>
    <t xml:space="preserve">How the profit is calculated (per order)</t>
  </si>
  <si>
    <t xml:space="preserve">Revenue excl. VAT = (products + shipping charged) ÷ (1 + destination VAT rate)</t>
  </si>
  <si>
    <t xml:space="preserve">– Product landed cost (supplier + freight/duties + euShipments acceptance fee) × units</t>
  </si>
  <si>
    <t xml:space="preserve">– Courier price for the parcel weight (+ fuel surcharge % + SMS fee) from the euShipments offer</t>
  </si>
  <si>
    <t xml:space="preserve">– Fulfilment: €0.65 per order (≤2 items, ≤5 kg) + €0.35 per extra item + €0.65 per extra 5 kg</t>
  </si>
  <si>
    <t xml:space="preserve">– Packaging, Stripe fee (or COD fee), cost per result (ads)</t>
  </si>
  <si>
    <t xml:space="preserve">– 20% Bulgarian VAT on euShipments invoices if you can't reclaim it</t>
  </si>
  <si>
    <t xml:space="preserve">– Share of fixed monthly costs (storage minimum €165 under 300 orders/month, pick&amp;pack location, Shopify…)</t>
  </si>
  <si>
    <t xml:space="preserve">– Expected refunds/returns: rate × (lost revenue – value of resold goods + return shipping + €0.65 reverse fulfilment)</t>
  </si>
  <si>
    <t xml:space="preserve">Assumptions to check</t>
  </si>
  <si>
    <t xml:space="preserve">• All euShipments prices come from your offer file and are excl. VAT. The offer says prices are valid 60 days after it was sent, so confirm they still apply.</t>
  </si>
  <si>
    <t xml:space="preserve">• Stripe: a US LLC with a US Stripe account pays 2.9% + $0.30, +1.5% for non-US cards, +1% if EUR is converted to USD (≈5.4% + €0.26 in total). An EU Stripe account pays ~1.5% + €0.25 on standard EEA cards. Check stripe.com/pricing for your account country.</t>
  </si>
  <si>
    <t xml:space="preserve">• VAT: selling to EU consumers from stock held in Bulgaria normally means VAT registration in Bulgaria and charging the customer's country VAT (via OSS) from the first sale for a non-EU company. Prices you type are treated as VAT-inclusive. Confirm your situation with an accountant.</t>
  </si>
  <si>
    <t xml:space="preserve">• VAT rates on the 'VAT Rates' tab are standard rates. Food supplements get reduced rates in some countries; type your own rate there if so.</t>
  </si>
  <si>
    <t xml:space="preserve">• COD: the COD fee is charged only on delivered parcels (as the offer states). Hungarian GLS/Sameday COD fees are tiered; the lowest tier is used.</t>
  </si>
  <si>
    <t xml:space="preserve">• Not included: Italy island/remote surcharges, Croatia island surcharges, Econt address-change fee (€1.50), income tax on profit, currency swings, chargebacks.</t>
  </si>
  <si>
    <t xml:space="preserve">• The return shipping cost for undelivered parcels is 'by tariff': type it in 'Return shipping you pay'. Usually it's the same as the outbound courier price.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</si>
</sst>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@"/>
    <numFmt numFmtId="166" formatCode="0"/>
    <numFmt numFmtId="167" formatCode="\€#,##0.00;[RED]&quot;(€&quot;#,##0.00\);\–"/>
    <numFmt numFmtId="168" formatCode="0.0%;[RED]\-0.0%;\–"/>
    <numFmt numFmtId="169" formatCode="0.00&quot; kg&quot;"/>
    <numFmt numFmtId="170" formatCode="0.00\x"/>
    <numFmt numFmtId="171" formatCode="0.00%;[RED]\-0.00%;\–"/>
    <numFmt numFmtId="172" formatCode="\€0.00"/>
    <numFmt numFmtId="173" formatCode="#,##0"/>
    <numFmt numFmtId="174" formatCode="0.0"/>
    <numFmt numFmtId="175" formatCode="0.##&quot; kg&quot;"/>
    <numFmt numFmtId="176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9C4"/>
        <bgColor rgb="FFFFFF99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C4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6"/>
    <col collapsed="false" customWidth="true" hidden="false" outlineLevel="0" max="8" min="3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false" outlineLevel="0" collapsed="false">
      <c r="A5" s="5" t="s">
        <v>10</v>
      </c>
      <c r="B5" s="6"/>
      <c r="C5" s="6"/>
      <c r="D5" s="6"/>
      <c r="E5" s="6"/>
      <c r="F5" s="6"/>
      <c r="G5" s="6"/>
      <c r="H5" s="6"/>
    </row>
    <row r="6" customFormat="false" ht="27.75" hidden="false" customHeight="true" outlineLevel="0" collapsed="false">
      <c r="A6" s="7" t="s">
        <v>11</v>
      </c>
      <c r="B6" s="8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9" t="s">
        <v>17</v>
      </c>
      <c r="H6" s="9" t="s">
        <v>18</v>
      </c>
    </row>
    <row r="7" customFormat="false" ht="27.75" hidden="false" customHeight="true" outlineLevel="0" collapsed="false">
      <c r="A7" s="7" t="s">
        <v>19</v>
      </c>
      <c r="B7" s="8" t="s">
        <v>20</v>
      </c>
      <c r="C7" s="10" t="s">
        <v>21</v>
      </c>
      <c r="D7" s="10" t="s">
        <v>21</v>
      </c>
      <c r="E7" s="10" t="s">
        <v>21</v>
      </c>
      <c r="F7" s="10" t="s">
        <v>21</v>
      </c>
      <c r="G7" s="10" t="s">
        <v>21</v>
      </c>
      <c r="H7" s="10" t="s">
        <v>22</v>
      </c>
    </row>
    <row r="8" customFormat="false" ht="22.35" hidden="false" customHeight="false" outlineLevel="0" collapsed="false">
      <c r="A8" s="7" t="s">
        <v>23</v>
      </c>
      <c r="B8" s="8" t="s">
        <v>24</v>
      </c>
      <c r="C8" s="10" t="s">
        <v>25</v>
      </c>
      <c r="D8" s="10" t="s">
        <v>25</v>
      </c>
      <c r="E8" s="10" t="s">
        <v>25</v>
      </c>
      <c r="F8" s="10" t="s">
        <v>25</v>
      </c>
      <c r="G8" s="10" t="s">
        <v>25</v>
      </c>
      <c r="H8" s="10" t="s">
        <v>26</v>
      </c>
    </row>
    <row r="9" customFormat="false" ht="15" hidden="false" customHeight="false" outlineLevel="0" collapsed="false">
      <c r="A9" s="7" t="s">
        <v>27</v>
      </c>
      <c r="B9" s="8" t="s">
        <v>28</v>
      </c>
      <c r="C9" s="11" t="n">
        <v>1</v>
      </c>
      <c r="D9" s="11" t="n">
        <v>1</v>
      </c>
      <c r="E9" s="11" t="n">
        <v>2</v>
      </c>
      <c r="F9" s="11" t="n">
        <v>3</v>
      </c>
      <c r="G9" s="11" t="n">
        <v>2</v>
      </c>
      <c r="H9" s="11" t="n">
        <v>1</v>
      </c>
    </row>
    <row r="10" customFormat="false" ht="15" hidden="false" customHeight="false" outlineLevel="0" collapsed="false">
      <c r="A10" s="7" t="s">
        <v>29</v>
      </c>
      <c r="B10" s="8" t="s">
        <v>30</v>
      </c>
      <c r="C10" s="11" t="n">
        <v>0</v>
      </c>
      <c r="D10" s="11" t="n">
        <v>1</v>
      </c>
      <c r="E10" s="11" t="n">
        <v>1</v>
      </c>
      <c r="F10" s="11" t="n">
        <v>0</v>
      </c>
      <c r="G10" s="11" t="n">
        <v>0</v>
      </c>
      <c r="H10" s="11" t="n">
        <v>0</v>
      </c>
    </row>
    <row r="11" customFormat="false" ht="15" hidden="false" customHeight="false" outlineLevel="0" collapsed="false">
      <c r="A11" s="7" t="s">
        <v>31</v>
      </c>
      <c r="B11" s="8" t="s">
        <v>32</v>
      </c>
      <c r="C11" s="12" t="n">
        <v>29.9</v>
      </c>
      <c r="D11" s="12" t="n">
        <v>34.9</v>
      </c>
      <c r="E11" s="12" t="n">
        <v>29.9</v>
      </c>
      <c r="F11" s="12" t="n">
        <v>29.9</v>
      </c>
      <c r="G11" s="12" t="n">
        <v>29.9</v>
      </c>
      <c r="H11" s="12" t="n">
        <v>29.9</v>
      </c>
    </row>
    <row r="12" customFormat="false" ht="15" hidden="false" customHeight="false" outlineLevel="0" collapsed="false">
      <c r="A12" s="7" t="s">
        <v>33</v>
      </c>
      <c r="B12" s="8" t="s">
        <v>34</v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0.25</v>
      </c>
      <c r="H12" s="13" t="n">
        <v>0</v>
      </c>
    </row>
    <row r="13" customFormat="false" ht="22.35" hidden="false" customHeight="false" outlineLevel="0" collapsed="false">
      <c r="A13" s="7" t="s">
        <v>35</v>
      </c>
      <c r="B13" s="8" t="s">
        <v>36</v>
      </c>
      <c r="C13" s="12"/>
      <c r="D13" s="12"/>
      <c r="E13" s="12"/>
      <c r="F13" s="12" t="n">
        <v>59</v>
      </c>
      <c r="G13" s="12"/>
      <c r="H13" s="12"/>
    </row>
    <row r="14" customFormat="false" ht="15" hidden="false" customHeight="false" outlineLevel="0" collapsed="false">
      <c r="A14" s="7" t="s">
        <v>37</v>
      </c>
      <c r="B14" s="8" t="s">
        <v>38</v>
      </c>
      <c r="C14" s="12" t="n">
        <v>4.99</v>
      </c>
      <c r="D14" s="12" t="n">
        <v>4.99</v>
      </c>
      <c r="E14" s="12" t="n">
        <v>4.99</v>
      </c>
      <c r="F14" s="12" t="n">
        <v>4.99</v>
      </c>
      <c r="G14" s="12" t="n">
        <v>4.99</v>
      </c>
      <c r="H14" s="12" t="n">
        <v>4.99</v>
      </c>
    </row>
    <row r="15" customFormat="false" ht="15" hidden="false" customHeight="false" outlineLevel="0" collapsed="false">
      <c r="A15" s="7" t="s">
        <v>39</v>
      </c>
      <c r="B15" s="8" t="s">
        <v>40</v>
      </c>
      <c r="C15" s="12" t="n">
        <v>50</v>
      </c>
      <c r="D15" s="12" t="n">
        <v>50</v>
      </c>
      <c r="E15" s="12" t="n">
        <v>50</v>
      </c>
      <c r="F15" s="12" t="n">
        <v>50</v>
      </c>
      <c r="G15" s="12" t="n">
        <v>50</v>
      </c>
      <c r="H15" s="12"/>
    </row>
    <row r="16" customFormat="false" ht="15" hidden="false" customHeight="false" outlineLevel="0" collapsed="false">
      <c r="A16" s="7" t="s">
        <v>41</v>
      </c>
      <c r="B16" s="8" t="s">
        <v>42</v>
      </c>
      <c r="C16" s="12" t="n">
        <v>4.5</v>
      </c>
      <c r="D16" s="12" t="n">
        <v>4.5</v>
      </c>
      <c r="E16" s="12" t="n">
        <v>4.5</v>
      </c>
      <c r="F16" s="12" t="n">
        <v>4.5</v>
      </c>
      <c r="G16" s="12" t="n">
        <v>4.5</v>
      </c>
      <c r="H16" s="12" t="n">
        <v>4.5</v>
      </c>
    </row>
    <row r="17" customFormat="false" ht="15" hidden="false" customHeight="false" outlineLevel="0" collapsed="false">
      <c r="A17" s="7" t="s">
        <v>43</v>
      </c>
      <c r="B17" s="8" t="s">
        <v>44</v>
      </c>
      <c r="C17" s="12" t="n">
        <v>0.8</v>
      </c>
      <c r="D17" s="12" t="n">
        <v>0.8</v>
      </c>
      <c r="E17" s="12" t="n">
        <v>0.8</v>
      </c>
      <c r="F17" s="12" t="n">
        <v>0.8</v>
      </c>
      <c r="G17" s="12" t="n">
        <v>0.8</v>
      </c>
      <c r="H17" s="12" t="n">
        <v>0.8</v>
      </c>
    </row>
    <row r="18" customFormat="false" ht="15" hidden="false" customHeight="false" outlineLevel="0" collapsed="false">
      <c r="A18" s="7" t="s">
        <v>45</v>
      </c>
      <c r="B18" s="8" t="s">
        <v>46</v>
      </c>
      <c r="C18" s="14" t="n">
        <v>0.25</v>
      </c>
      <c r="D18" s="14" t="n">
        <v>0.25</v>
      </c>
      <c r="E18" s="14" t="n">
        <v>0.25</v>
      </c>
      <c r="F18" s="14" t="n">
        <v>0.25</v>
      </c>
      <c r="G18" s="14" t="n">
        <v>0.25</v>
      </c>
      <c r="H18" s="14" t="n">
        <v>0.25</v>
      </c>
    </row>
    <row r="19" customFormat="false" ht="15" hidden="false" customHeight="false" outlineLevel="0" collapsed="false">
      <c r="A19" s="7" t="s">
        <v>47</v>
      </c>
      <c r="B19" s="8" t="s">
        <v>48</v>
      </c>
      <c r="C19" s="14" t="n">
        <v>0.05</v>
      </c>
      <c r="D19" s="14" t="n">
        <v>0.05</v>
      </c>
      <c r="E19" s="14" t="n">
        <v>0.05</v>
      </c>
      <c r="F19" s="14" t="n">
        <v>0.05</v>
      </c>
      <c r="G19" s="14" t="n">
        <v>0.05</v>
      </c>
      <c r="H19" s="14" t="n">
        <v>0.05</v>
      </c>
    </row>
    <row r="20" customFormat="false" ht="15" hidden="false" customHeight="false" outlineLevel="0" collapsed="false">
      <c r="A20" s="7" t="s">
        <v>49</v>
      </c>
      <c r="B20" s="8" t="s">
        <v>50</v>
      </c>
      <c r="C20" s="11"/>
      <c r="D20" s="11"/>
      <c r="E20" s="11"/>
      <c r="F20" s="11"/>
      <c r="G20" s="11"/>
      <c r="H20" s="11"/>
    </row>
    <row r="21" customFormat="false" ht="15" hidden="false" customHeight="false" outlineLevel="0" collapsed="false">
      <c r="A21" s="7" t="s">
        <v>51</v>
      </c>
      <c r="B21" s="8"/>
      <c r="C21" s="11"/>
      <c r="D21" s="11"/>
      <c r="E21" s="11"/>
      <c r="F21" s="11"/>
      <c r="G21" s="11"/>
      <c r="H21" s="11"/>
    </row>
    <row r="22" customFormat="false" ht="15" hidden="false" customHeight="false" outlineLevel="0" collapsed="false">
      <c r="A22" s="7" t="s">
        <v>52</v>
      </c>
      <c r="B22" s="8"/>
      <c r="C22" s="11"/>
      <c r="D22" s="11"/>
      <c r="E22" s="11"/>
      <c r="F22" s="11"/>
      <c r="G22" s="11"/>
      <c r="H22" s="11"/>
    </row>
    <row r="23" customFormat="false" ht="15" hidden="false" customHeight="false" outlineLevel="0" collapsed="false">
      <c r="A23" s="7" t="s">
        <v>53</v>
      </c>
      <c r="B23" s="8" t="s">
        <v>54</v>
      </c>
      <c r="C23" s="12" t="n">
        <v>0.08</v>
      </c>
      <c r="D23" s="12" t="n">
        <v>0.08</v>
      </c>
      <c r="E23" s="12" t="n">
        <v>0.13</v>
      </c>
      <c r="F23" s="12" t="n">
        <v>0.13</v>
      </c>
      <c r="G23" s="12" t="n">
        <v>0.08</v>
      </c>
      <c r="H23" s="12" t="n">
        <v>0.08</v>
      </c>
    </row>
    <row r="24" customFormat="false" ht="15" hidden="false" customHeight="false" outlineLevel="0" collapsed="false">
      <c r="A24" s="7" t="s">
        <v>55</v>
      </c>
      <c r="B24" s="8" t="s">
        <v>56</v>
      </c>
      <c r="C24" s="12" t="n">
        <v>15</v>
      </c>
      <c r="D24" s="12" t="n">
        <v>18</v>
      </c>
      <c r="E24" s="12" t="n">
        <v>20</v>
      </c>
      <c r="F24" s="12" t="n">
        <v>20</v>
      </c>
      <c r="G24" s="12" t="n">
        <v>18</v>
      </c>
      <c r="H24" s="12" t="n">
        <v>12</v>
      </c>
    </row>
    <row r="25" customFormat="false" ht="22.35" hidden="false" customHeight="false" outlineLevel="0" collapsed="false">
      <c r="A25" s="7" t="s">
        <v>57</v>
      </c>
      <c r="B25" s="8" t="s">
        <v>58</v>
      </c>
      <c r="C25" s="13" t="n">
        <v>0.03</v>
      </c>
      <c r="D25" s="13" t="n">
        <v>0.03</v>
      </c>
      <c r="E25" s="13" t="n">
        <v>0.03</v>
      </c>
      <c r="F25" s="13" t="n">
        <v>0.03</v>
      </c>
      <c r="G25" s="13" t="n">
        <v>0.03</v>
      </c>
      <c r="H25" s="13" t="n">
        <v>0.15</v>
      </c>
    </row>
    <row r="26" customFormat="false" ht="15" hidden="false" customHeight="false" outlineLevel="0" collapsed="false">
      <c r="A26" s="7" t="s">
        <v>59</v>
      </c>
      <c r="B26" s="8" t="s">
        <v>60</v>
      </c>
      <c r="C26" s="13" t="n">
        <v>0.8</v>
      </c>
      <c r="D26" s="13" t="n">
        <v>0.8</v>
      </c>
      <c r="E26" s="13" t="n">
        <v>0.8</v>
      </c>
      <c r="F26" s="13" t="n">
        <v>0.8</v>
      </c>
      <c r="G26" s="13" t="n">
        <v>0.8</v>
      </c>
      <c r="H26" s="13" t="n">
        <v>0.8</v>
      </c>
    </row>
    <row r="27" customFormat="false" ht="15" hidden="false" customHeight="false" outlineLevel="0" collapsed="false">
      <c r="A27" s="7" t="s">
        <v>61</v>
      </c>
      <c r="B27" s="8" t="s">
        <v>62</v>
      </c>
      <c r="C27" s="12" t="n">
        <v>0</v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3.15</v>
      </c>
    </row>
    <row r="28" customFormat="false" ht="15" hidden="false" customHeight="false" outlineLevel="0" collapsed="false">
      <c r="A28" s="5" t="s">
        <v>63</v>
      </c>
      <c r="B28" s="6"/>
      <c r="C28" s="6"/>
      <c r="D28" s="6"/>
      <c r="E28" s="6"/>
      <c r="F28" s="6"/>
      <c r="G28" s="6"/>
      <c r="H28" s="6"/>
    </row>
    <row r="29" customFormat="false" ht="15" hidden="false" customHeight="false" outlineLevel="0" collapsed="false">
      <c r="A29" s="7" t="s">
        <v>64</v>
      </c>
      <c r="B29" s="8" t="s">
        <v>65</v>
      </c>
      <c r="C29" s="15" t="n">
        <f aca="false">C9+C10</f>
        <v>1</v>
      </c>
      <c r="D29" s="15" t="n">
        <f aca="false">D9+D10</f>
        <v>2</v>
      </c>
      <c r="E29" s="15" t="n">
        <f aca="false">E9+E10</f>
        <v>3</v>
      </c>
      <c r="F29" s="15" t="n">
        <f aca="false">F9+F10</f>
        <v>3</v>
      </c>
      <c r="G29" s="15" t="n">
        <f aca="false">G9+G10</f>
        <v>2</v>
      </c>
      <c r="H29" s="15" t="n">
        <f aca="false">H9+H10</f>
        <v>1</v>
      </c>
    </row>
    <row r="30" customFormat="false" ht="15" hidden="false" customHeight="false" outlineLevel="0" collapsed="false">
      <c r="A30" s="7" t="s">
        <v>66</v>
      </c>
      <c r="B30" s="8" t="s">
        <v>67</v>
      </c>
      <c r="C30" s="16" t="n">
        <f aca="false">IF(N(C13)&gt;0,C13,C9*C11*(1-C12))</f>
        <v>29.9</v>
      </c>
      <c r="D30" s="16" t="n">
        <f aca="false">IF(N(D13)&gt;0,D13,D9*D11*(1-D12))</f>
        <v>34.9</v>
      </c>
      <c r="E30" s="16" t="n">
        <f aca="false">IF(N(E13)&gt;0,E13,E9*E11*(1-E12))</f>
        <v>59.8</v>
      </c>
      <c r="F30" s="16" t="n">
        <f aca="false">IF(N(F13)&gt;0,F13,F9*F11*(1-F12))</f>
        <v>59</v>
      </c>
      <c r="G30" s="16" t="n">
        <f aca="false">IF(N(G13)&gt;0,G13,G9*G11*(1-G12))</f>
        <v>44.85</v>
      </c>
      <c r="H30" s="16" t="n">
        <f aca="false">IF(N(H13)&gt;0,H13,H9*H11*(1-H12))</f>
        <v>29.9</v>
      </c>
    </row>
    <row r="31" customFormat="false" ht="15" hidden="false" customHeight="false" outlineLevel="0" collapsed="false">
      <c r="A31" s="7" t="s">
        <v>68</v>
      </c>
      <c r="B31" s="8" t="s">
        <v>69</v>
      </c>
      <c r="C31" s="16" t="n">
        <f aca="false">IF(AND(ISNUMBER(C15),C30&gt;=C15),0,C14)</f>
        <v>4.99</v>
      </c>
      <c r="D31" s="16" t="n">
        <f aca="false">IF(AND(ISNUMBER(D15),D30&gt;=D15),0,D14)</f>
        <v>4.99</v>
      </c>
      <c r="E31" s="16" t="n">
        <f aca="false">IF(AND(ISNUMBER(E15),E30&gt;=E15),0,E14)</f>
        <v>0</v>
      </c>
      <c r="F31" s="16" t="n">
        <f aca="false">IF(AND(ISNUMBER(F15),F30&gt;=F15),0,F14)</f>
        <v>0</v>
      </c>
      <c r="G31" s="16" t="n">
        <f aca="false">IF(AND(ISNUMBER(G15),G30&gt;=G15),0,G14)</f>
        <v>4.99</v>
      </c>
      <c r="H31" s="16" t="n">
        <f aca="false">IF(AND(ISNUMBER(H15),H30&gt;=H15),0,H14)</f>
        <v>4.99</v>
      </c>
    </row>
    <row r="32" customFormat="false" ht="15" hidden="false" customHeight="false" outlineLevel="0" collapsed="false">
      <c r="A32" s="7" t="s">
        <v>70</v>
      </c>
      <c r="B32" s="8" t="s">
        <v>71</v>
      </c>
      <c r="C32" s="16" t="n">
        <f aca="false">C30+C31</f>
        <v>34.89</v>
      </c>
      <c r="D32" s="16" t="n">
        <f aca="false">D30+D31</f>
        <v>39.89</v>
      </c>
      <c r="E32" s="16" t="n">
        <f aca="false">E30+E31</f>
        <v>59.8</v>
      </c>
      <c r="F32" s="16" t="n">
        <f aca="false">F30+F31</f>
        <v>59</v>
      </c>
      <c r="G32" s="16" t="n">
        <f aca="false">G30+G31</f>
        <v>49.84</v>
      </c>
      <c r="H32" s="16" t="n">
        <f aca="false">H30+H31</f>
        <v>34.89</v>
      </c>
    </row>
    <row r="33" customFormat="false" ht="15" hidden="false" customHeight="false" outlineLevel="0" collapsed="false">
      <c r="A33" s="7" t="s">
        <v>72</v>
      </c>
      <c r="B33" s="8"/>
      <c r="C33" s="16" t="n">
        <f aca="false">IF(C29&gt;0,C32/C29,0)</f>
        <v>34.89</v>
      </c>
      <c r="D33" s="16" t="n">
        <f aca="false">IF(D29&gt;0,D32/D29,0)</f>
        <v>19.945</v>
      </c>
      <c r="E33" s="16" t="n">
        <f aca="false">IF(E29&gt;0,E32/E29,0)</f>
        <v>19.9333333333333</v>
      </c>
      <c r="F33" s="16" t="n">
        <f aca="false">IF(F29&gt;0,F32/F29,0)</f>
        <v>19.6666666666667</v>
      </c>
      <c r="G33" s="16" t="n">
        <f aca="false">IF(G29&gt;0,G32/G29,0)</f>
        <v>24.92</v>
      </c>
      <c r="H33" s="16" t="n">
        <f aca="false">IF(H29&gt;0,H32/H29,0)</f>
        <v>34.89</v>
      </c>
    </row>
    <row r="34" customFormat="false" ht="15" hidden="false" customHeight="false" outlineLevel="0" collapsed="false">
      <c r="A34" s="7" t="s">
        <v>73</v>
      </c>
      <c r="B34" s="8" t="s">
        <v>74</v>
      </c>
      <c r="C34" s="17" t="n">
        <f aca="false">IF(C29*C11&gt;0,1-C30/(C29*C11),0)</f>
        <v>0</v>
      </c>
      <c r="D34" s="17" t="n">
        <f aca="false">IF(D29*D11&gt;0,1-D30/(D29*D11),0)</f>
        <v>0.5</v>
      </c>
      <c r="E34" s="17" t="n">
        <f aca="false">IF(E29*E11&gt;0,1-E30/(E29*E11),0)</f>
        <v>0.333333333333333</v>
      </c>
      <c r="F34" s="17" t="n">
        <f aca="false">IF(F29*F11&gt;0,1-F30/(F29*F11),0)</f>
        <v>0.342251950947603</v>
      </c>
      <c r="G34" s="17" t="n">
        <f aca="false">IF(G29*G11&gt;0,1-G30/(G29*G11),0)</f>
        <v>0.25</v>
      </c>
      <c r="H34" s="17" t="n">
        <f aca="false">IF(H29*H11&gt;0,1-H30/(H29*H11),0)</f>
        <v>0</v>
      </c>
    </row>
    <row r="35" customFormat="false" ht="15" hidden="false" customHeight="false" outlineLevel="0" collapsed="false">
      <c r="A35" s="7" t="s">
        <v>75</v>
      </c>
      <c r="B35" s="8"/>
      <c r="C35" s="18" t="str">
        <f aca="false">IFERROR(INDEX(Dest_Country,MATCH(C7,Dest_List,0)),"")</f>
        <v>Romania</v>
      </c>
      <c r="D35" s="18" t="str">
        <f aca="false">IFERROR(INDEX(Dest_Country,MATCH(D7,Dest_List,0)),"")</f>
        <v>Romania</v>
      </c>
      <c r="E35" s="18" t="str">
        <f aca="false">IFERROR(INDEX(Dest_Country,MATCH(E7,Dest_List,0)),"")</f>
        <v>Romania</v>
      </c>
      <c r="F35" s="18" t="str">
        <f aca="false">IFERROR(INDEX(Dest_Country,MATCH(F7,Dest_List,0)),"")</f>
        <v>Romania</v>
      </c>
      <c r="G35" s="18" t="str">
        <f aca="false">IFERROR(INDEX(Dest_Country,MATCH(G7,Dest_List,0)),"")</f>
        <v>Romania</v>
      </c>
      <c r="H35" s="18" t="str">
        <f aca="false">IFERROR(INDEX(Dest_Country,MATCH(H7,Dest_List,0)),"")</f>
        <v>Bulgaria</v>
      </c>
    </row>
    <row r="36" customFormat="false" ht="22.35" hidden="false" customHeight="false" outlineLevel="0" collapsed="false">
      <c r="A36" s="7" t="s">
        <v>76</v>
      </c>
      <c r="B36" s="8" t="s">
        <v>77</v>
      </c>
      <c r="C36" s="17" t="n">
        <f aca="false">IF(VAT_On_Sales="Yes",IFERROR(INDEX(VAT_Rate,MATCH(C35,VAT_Country,0)),0),0)</f>
        <v>0.21</v>
      </c>
      <c r="D36" s="17" t="n">
        <f aca="false">IF(VAT_On_Sales="Yes",IFERROR(INDEX(VAT_Rate,MATCH(D35,VAT_Country,0)),0),0)</f>
        <v>0.21</v>
      </c>
      <c r="E36" s="17" t="n">
        <f aca="false">IF(VAT_On_Sales="Yes",IFERROR(INDEX(VAT_Rate,MATCH(E35,VAT_Country,0)),0),0)</f>
        <v>0.21</v>
      </c>
      <c r="F36" s="17" t="n">
        <f aca="false">IF(VAT_On_Sales="Yes",IFERROR(INDEX(VAT_Rate,MATCH(F35,VAT_Country,0)),0),0)</f>
        <v>0.21</v>
      </c>
      <c r="G36" s="17" t="n">
        <f aca="false">IF(VAT_On_Sales="Yes",IFERROR(INDEX(VAT_Rate,MATCH(G35,VAT_Country,0)),0),0)</f>
        <v>0.21</v>
      </c>
      <c r="H36" s="17" t="n">
        <f aca="false">IF(VAT_On_Sales="Yes",IFERROR(INDEX(VAT_Rate,MATCH(H35,VAT_Country,0)),0),0)</f>
        <v>0.2</v>
      </c>
    </row>
    <row r="37" customFormat="false" ht="15" hidden="false" customHeight="false" outlineLevel="0" collapsed="false">
      <c r="A37" s="7" t="s">
        <v>78</v>
      </c>
      <c r="B37" s="8"/>
      <c r="C37" s="16" t="n">
        <f aca="false">C32-C32/(1+C36)</f>
        <v>6.05528925619835</v>
      </c>
      <c r="D37" s="16" t="n">
        <f aca="false">D32-D32/(1+D36)</f>
        <v>6.92305785123967</v>
      </c>
      <c r="E37" s="16" t="n">
        <f aca="false">E32-E32/(1+E36)</f>
        <v>10.3785123966942</v>
      </c>
      <c r="F37" s="16" t="n">
        <f aca="false">F32-F32/(1+F36)</f>
        <v>10.2396694214876</v>
      </c>
      <c r="G37" s="16" t="n">
        <f aca="false">G32-G32/(1+G36)</f>
        <v>8.6499173553719</v>
      </c>
      <c r="H37" s="16" t="n">
        <f aca="false">H32-H32/(1+H36)</f>
        <v>5.815</v>
      </c>
    </row>
    <row r="38" customFormat="false" ht="15" hidden="false" customHeight="false" outlineLevel="0" collapsed="false">
      <c r="A38" s="7" t="s">
        <v>79</v>
      </c>
      <c r="B38" s="8"/>
      <c r="C38" s="16" t="n">
        <f aca="false">C32-C37</f>
        <v>28.8347107438017</v>
      </c>
      <c r="D38" s="16" t="n">
        <f aca="false">D32-D37</f>
        <v>32.9669421487603</v>
      </c>
      <c r="E38" s="16" t="n">
        <f aca="false">E32-E37</f>
        <v>49.4214876033058</v>
      </c>
      <c r="F38" s="16" t="n">
        <f aca="false">F32-F37</f>
        <v>48.7603305785124</v>
      </c>
      <c r="G38" s="16" t="n">
        <f aca="false">G32-G37</f>
        <v>41.1900826446281</v>
      </c>
      <c r="H38" s="16" t="n">
        <f aca="false">H32-H37</f>
        <v>29.075</v>
      </c>
    </row>
    <row r="39" customFormat="false" ht="15" hidden="false" customHeight="false" outlineLevel="0" collapsed="false">
      <c r="A39" s="5" t="s">
        <v>80</v>
      </c>
      <c r="B39" s="6"/>
      <c r="C39" s="6"/>
      <c r="D39" s="6"/>
      <c r="E39" s="6"/>
      <c r="F39" s="6"/>
      <c r="G39" s="6"/>
      <c r="H39" s="6"/>
    </row>
    <row r="40" customFormat="false" ht="15" hidden="false" customHeight="false" outlineLevel="0" collapsed="false">
      <c r="A40" s="7" t="s">
        <v>81</v>
      </c>
      <c r="B40" s="8" t="s">
        <v>82</v>
      </c>
      <c r="C40" s="16" t="n">
        <f aca="false">IF(C18&lt;=0.25,FF_Accept_Small,FF_Accept_Big)</f>
        <v>0.08</v>
      </c>
      <c r="D40" s="16" t="n">
        <f aca="false">IF(D18&lt;=0.25,FF_Accept_Small,FF_Accept_Big)</f>
        <v>0.08</v>
      </c>
      <c r="E40" s="16" t="n">
        <f aca="false">IF(E18&lt;=0.25,FF_Accept_Small,FF_Accept_Big)</f>
        <v>0.08</v>
      </c>
      <c r="F40" s="16" t="n">
        <f aca="false">IF(F18&lt;=0.25,FF_Accept_Small,FF_Accept_Big)</f>
        <v>0.08</v>
      </c>
      <c r="G40" s="16" t="n">
        <f aca="false">IF(G18&lt;=0.25,FF_Accept_Small,FF_Accept_Big)</f>
        <v>0.08</v>
      </c>
      <c r="H40" s="16" t="n">
        <f aca="false">IF(H18&lt;=0.25,FF_Accept_Small,FF_Accept_Big)</f>
        <v>0.08</v>
      </c>
    </row>
    <row r="41" customFormat="false" ht="15" hidden="false" customHeight="false" outlineLevel="0" collapsed="false">
      <c r="A41" s="7" t="s">
        <v>83</v>
      </c>
      <c r="B41" s="8" t="s">
        <v>84</v>
      </c>
      <c r="C41" s="16" t="n">
        <f aca="false">C29*(C16+C17+C40)</f>
        <v>5.38</v>
      </c>
      <c r="D41" s="16" t="n">
        <f aca="false">D29*(D16+D17+D40)</f>
        <v>10.76</v>
      </c>
      <c r="E41" s="16" t="n">
        <f aca="false">E29*(E16+E17+E40)</f>
        <v>16.14</v>
      </c>
      <c r="F41" s="16" t="n">
        <f aca="false">F29*(F16+F17+F40)</f>
        <v>16.14</v>
      </c>
      <c r="G41" s="16" t="n">
        <f aca="false">G29*(G16+G17+G40)</f>
        <v>10.76</v>
      </c>
      <c r="H41" s="16" t="n">
        <f aca="false">H29*(H16+H17+H40)</f>
        <v>5.38</v>
      </c>
    </row>
    <row r="42" customFormat="false" ht="15" hidden="false" customHeight="false" outlineLevel="0" collapsed="false">
      <c r="A42" s="7" t="s">
        <v>85</v>
      </c>
      <c r="B42" s="8" t="s">
        <v>86</v>
      </c>
      <c r="C42" s="19" t="n">
        <f aca="false">C29*C18+C19</f>
        <v>0.3</v>
      </c>
      <c r="D42" s="19" t="n">
        <f aca="false">D29*D18+D19</f>
        <v>0.55</v>
      </c>
      <c r="E42" s="19" t="n">
        <f aca="false">E29*E18+E19</f>
        <v>0.8</v>
      </c>
      <c r="F42" s="19" t="n">
        <f aca="false">F29*F18+F19</f>
        <v>0.8</v>
      </c>
      <c r="G42" s="19" t="n">
        <f aca="false">G29*G18+G19</f>
        <v>0.55</v>
      </c>
      <c r="H42" s="19" t="n">
        <f aca="false">H29*H18+H19</f>
        <v>0.3</v>
      </c>
    </row>
    <row r="43" customFormat="false" ht="15" hidden="false" customHeight="false" outlineLevel="0" collapsed="false">
      <c r="A43" s="7" t="s">
        <v>87</v>
      </c>
      <c r="B43" s="8" t="s">
        <v>88</v>
      </c>
      <c r="C43" s="19" t="n">
        <f aca="false">IF(COUNT(C20,C21,C22)=3,C20*C21*C22/IFERROR(INDEX(Dest_VolDiv,MATCH(C7,Dest_List,0)),5000),0)</f>
        <v>0</v>
      </c>
      <c r="D43" s="19" t="n">
        <f aca="false">IF(COUNT(D20,D21,D22)=3,D20*D21*D22/IFERROR(INDEX(Dest_VolDiv,MATCH(D7,Dest_List,0)),5000),0)</f>
        <v>0</v>
      </c>
      <c r="E43" s="19" t="n">
        <f aca="false">IF(COUNT(E20,E21,E22)=3,E20*E21*E22/IFERROR(INDEX(Dest_VolDiv,MATCH(E7,Dest_List,0)),5000),0)</f>
        <v>0</v>
      </c>
      <c r="F43" s="19" t="n">
        <f aca="false">IF(COUNT(F20,F21,F22)=3,F20*F21*F22/IFERROR(INDEX(Dest_VolDiv,MATCH(F7,Dest_List,0)),5000),0)</f>
        <v>0</v>
      </c>
      <c r="G43" s="19" t="n">
        <f aca="false">IF(COUNT(G20,G21,G22)=3,G20*G21*G22/IFERROR(INDEX(Dest_VolDiv,MATCH(G7,Dest_List,0)),5000),0)</f>
        <v>0</v>
      </c>
      <c r="H43" s="19" t="n">
        <f aca="false">IF(COUNT(H20,H21,H22)=3,H20*H21*H22/IFERROR(INDEX(Dest_VolDiv,MATCH(H7,Dest_List,0)),5000),0)</f>
        <v>0</v>
      </c>
    </row>
    <row r="44" customFormat="false" ht="15" hidden="false" customHeight="false" outlineLevel="0" collapsed="false">
      <c r="A44" s="7" t="s">
        <v>89</v>
      </c>
      <c r="B44" s="8" t="s">
        <v>90</v>
      </c>
      <c r="C44" s="19" t="n">
        <f aca="false">MAX(C42,C43)</f>
        <v>0.3</v>
      </c>
      <c r="D44" s="19" t="n">
        <f aca="false">MAX(D42,D43)</f>
        <v>0.55</v>
      </c>
      <c r="E44" s="19" t="n">
        <f aca="false">MAX(E42,E43)</f>
        <v>0.8</v>
      </c>
      <c r="F44" s="19" t="n">
        <f aca="false">MAX(F42,F43)</f>
        <v>0.8</v>
      </c>
      <c r="G44" s="19" t="n">
        <f aca="false">MAX(G42,G43)</f>
        <v>0.55</v>
      </c>
      <c r="H44" s="19" t="n">
        <f aca="false">MAX(H42,H43)</f>
        <v>0.3</v>
      </c>
    </row>
    <row r="45" customFormat="false" ht="15" hidden="false" customHeight="false" outlineLevel="0" collapsed="false">
      <c r="A45" s="7" t="s">
        <v>91</v>
      </c>
      <c r="B45" s="8" t="s">
        <v>92</v>
      </c>
      <c r="C45" s="16" t="n">
        <f aca="false">IFERROR(INDEX(Rate_Table,MATCH(C7,Dest_List,0),COUNTIF(Rate_Weights,"&lt;"&amp;C44)+1),0)</f>
        <v>2.66734455448582</v>
      </c>
      <c r="D45" s="16" t="n">
        <f aca="false">IFERROR(INDEX(Rate_Table,MATCH(D7,Dest_List,0),COUNTIF(Rate_Weights,"&lt;"&amp;D44)+1),0)</f>
        <v>2.66734455448582</v>
      </c>
      <c r="E45" s="16" t="n">
        <f aca="false">IFERROR(INDEX(Rate_Table,MATCH(E7,Dest_List,0),COUNTIF(Rate_Weights,"&lt;"&amp;E44)+1),0)</f>
        <v>2.66734455448582</v>
      </c>
      <c r="F45" s="16" t="n">
        <f aca="false">IFERROR(INDEX(Rate_Table,MATCH(F7,Dest_List,0),COUNTIF(Rate_Weights,"&lt;"&amp;F44)+1),0)</f>
        <v>2.66734455448582</v>
      </c>
      <c r="G45" s="16" t="n">
        <f aca="false">IFERROR(INDEX(Rate_Table,MATCH(G7,Dest_List,0),COUNTIF(Rate_Weights,"&lt;"&amp;G44)+1),0)</f>
        <v>2.66734455448582</v>
      </c>
      <c r="H45" s="16" t="n">
        <f aca="false">IFERROR(INDEX(Rate_Table,MATCH(H7,Dest_List,0),COUNTIF(Rate_Weights,"&lt;"&amp;H44)+1),0)</f>
        <v>3.1461480973977</v>
      </c>
    </row>
    <row r="46" customFormat="false" ht="15" hidden="false" customHeight="false" outlineLevel="0" collapsed="false">
      <c r="A46" s="7" t="s">
        <v>93</v>
      </c>
      <c r="B46" s="8" t="s">
        <v>94</v>
      </c>
      <c r="C46" s="16" t="n">
        <f aca="false">C45*(1+IFERROR(INDEX(Dest_Fuel,MATCH(C7,Dest_List,0)),0))+IF(C45&gt;0,IFERROR(INDEX(Dest_SMS,MATCH(C7,Dest_List,0)),0),0)</f>
        <v>2.66734455448582</v>
      </c>
      <c r="D46" s="16" t="n">
        <f aca="false">D45*(1+IFERROR(INDEX(Dest_Fuel,MATCH(D7,Dest_List,0)),0))+IF(D45&gt;0,IFERROR(INDEX(Dest_SMS,MATCH(D7,Dest_List,0)),0),0)</f>
        <v>2.66734455448582</v>
      </c>
      <c r="E46" s="16" t="n">
        <f aca="false">E45*(1+IFERROR(INDEX(Dest_Fuel,MATCH(E7,Dest_List,0)),0))+IF(E45&gt;0,IFERROR(INDEX(Dest_SMS,MATCH(E7,Dest_List,0)),0),0)</f>
        <v>2.66734455448582</v>
      </c>
      <c r="F46" s="16" t="n">
        <f aca="false">F45*(1+IFERROR(INDEX(Dest_Fuel,MATCH(F7,Dest_List,0)),0))+IF(F45&gt;0,IFERROR(INDEX(Dest_SMS,MATCH(F7,Dest_List,0)),0),0)</f>
        <v>2.66734455448582</v>
      </c>
      <c r="G46" s="16" t="n">
        <f aca="false">G45*(1+IFERROR(INDEX(Dest_Fuel,MATCH(G7,Dest_List,0)),0))+IF(G45&gt;0,IFERROR(INDEX(Dest_SMS,MATCH(G7,Dest_List,0)),0),0)</f>
        <v>2.66734455448582</v>
      </c>
      <c r="H46" s="16" t="n">
        <f aca="false">H45*(1+IFERROR(INDEX(Dest_Fuel,MATCH(H7,Dest_List,0)),0))+IF(H45&gt;0,IFERROR(INDEX(Dest_SMS,MATCH(H7,Dest_List,0)),0),0)</f>
        <v>3.27760957837167</v>
      </c>
    </row>
    <row r="47" customFormat="false" ht="22.35" hidden="false" customHeight="false" outlineLevel="0" collapsed="false">
      <c r="A47" s="7" t="s">
        <v>95</v>
      </c>
      <c r="B47" s="8" t="s">
        <v>96</v>
      </c>
      <c r="C47" s="16" t="n">
        <f aca="false">FF_Base+FF_Extra_Item*MAX(0,C29-FF_Items_Incl)+FF_Extra_5kg*ROUNDUP(MAX(0,C42-FF_Kg_Incl)/5,0)</f>
        <v>0.65</v>
      </c>
      <c r="D47" s="16" t="n">
        <f aca="false">FF_Base+FF_Extra_Item*MAX(0,D29-FF_Items_Incl)+FF_Extra_5kg*ROUNDUP(MAX(0,D42-FF_Kg_Incl)/5,0)</f>
        <v>0.65</v>
      </c>
      <c r="E47" s="16" t="n">
        <f aca="false">FF_Base+FF_Extra_Item*MAX(0,E29-FF_Items_Incl)+FF_Extra_5kg*ROUNDUP(MAX(0,E42-FF_Kg_Incl)/5,0)</f>
        <v>1</v>
      </c>
      <c r="F47" s="16" t="n">
        <f aca="false">FF_Base+FF_Extra_Item*MAX(0,F29-FF_Items_Incl)+FF_Extra_5kg*ROUNDUP(MAX(0,F42-FF_Kg_Incl)/5,0)</f>
        <v>1</v>
      </c>
      <c r="G47" s="16" t="n">
        <f aca="false">FF_Base+FF_Extra_Item*MAX(0,G29-FF_Items_Incl)+FF_Extra_5kg*ROUNDUP(MAX(0,G42-FF_Kg_Incl)/5,0)</f>
        <v>0.65</v>
      </c>
      <c r="H47" s="16" t="n">
        <f aca="false">FF_Base+FF_Extra_Item*MAX(0,H29-FF_Items_Incl)+FF_Extra_5kg*ROUNDUP(MAX(0,H42-FF_Kg_Incl)/5,0)</f>
        <v>0.65</v>
      </c>
    </row>
    <row r="48" customFormat="false" ht="15" hidden="false" customHeight="false" outlineLevel="0" collapsed="false">
      <c r="A48" s="7" t="s">
        <v>97</v>
      </c>
      <c r="B48" s="8"/>
      <c r="C48" s="16" t="n">
        <f aca="false">C23</f>
        <v>0.08</v>
      </c>
      <c r="D48" s="16" t="n">
        <f aca="false">D23</f>
        <v>0.08</v>
      </c>
      <c r="E48" s="16" t="n">
        <f aca="false">E23</f>
        <v>0.13</v>
      </c>
      <c r="F48" s="16" t="n">
        <f aca="false">F23</f>
        <v>0.13</v>
      </c>
      <c r="G48" s="16" t="n">
        <f aca="false">G23</f>
        <v>0.08</v>
      </c>
      <c r="H48" s="16" t="n">
        <f aca="false">H23</f>
        <v>0.08</v>
      </c>
    </row>
    <row r="49" customFormat="false" ht="22.35" hidden="false" customHeight="false" outlineLevel="0" collapsed="false">
      <c r="A49" s="7" t="s">
        <v>98</v>
      </c>
      <c r="B49" s="8" t="s">
        <v>99</v>
      </c>
      <c r="C49" s="16" t="n">
        <f aca="false">IF(C8="COD",IFERROR(MAX(C32*INDEX(Dest_CODpct,MATCH(C7,Dest_List,0)),INDEX(Dest_CODmin,MATCH(C7,Dest_List,0))),0)*(1-C25),C32*(Stripe_Pct+Pay_Extra_Pct)+Stripe_Fixed)</f>
        <v>2.14406</v>
      </c>
      <c r="D49" s="16" t="n">
        <f aca="false">IF(D8="COD",IFERROR(MAX(D32*INDEX(Dest_CODpct,MATCH(D7,Dest_List,0)),INDEX(Dest_CODmin,MATCH(D7,Dest_List,0))),0)*(1-D25),D32*(Stripe_Pct+Pay_Extra_Pct)+Stripe_Fixed)</f>
        <v>2.41406</v>
      </c>
      <c r="E49" s="16" t="n">
        <f aca="false">IF(E8="COD",IFERROR(MAX(E32*INDEX(Dest_CODpct,MATCH(E7,Dest_List,0)),INDEX(Dest_CODmin,MATCH(E7,Dest_List,0))),0)*(1-E25),E32*(Stripe_Pct+Pay_Extra_Pct)+Stripe_Fixed)</f>
        <v>3.4892</v>
      </c>
      <c r="F49" s="16" t="n">
        <f aca="false">IF(F8="COD",IFERROR(MAX(F32*INDEX(Dest_CODpct,MATCH(F7,Dest_List,0)),INDEX(Dest_CODmin,MATCH(F7,Dest_List,0))),0)*(1-F25),F32*(Stripe_Pct+Pay_Extra_Pct)+Stripe_Fixed)</f>
        <v>3.446</v>
      </c>
      <c r="G49" s="16" t="n">
        <f aca="false">IF(G8="COD",IFERROR(MAX(G32*INDEX(Dest_CODpct,MATCH(G7,Dest_List,0)),INDEX(Dest_CODmin,MATCH(G7,Dest_List,0))),0)*(1-G25),G32*(Stripe_Pct+Pay_Extra_Pct)+Stripe_Fixed)</f>
        <v>2.95136</v>
      </c>
      <c r="H49" s="16" t="n">
        <f aca="false">IF(H8="COD",IFERROR(MAX(H32*INDEX(Dest_CODpct,MATCH(H7,Dest_List,0)),INDEX(Dest_CODmin,MATCH(H7,Dest_List,0))),0)*(1-H25),H32*(Stripe_Pct+Pay_Extra_Pct)+Stripe_Fixed)</f>
        <v>0.27580545</v>
      </c>
    </row>
    <row r="50" customFormat="false" ht="22.35" hidden="false" customHeight="false" outlineLevel="0" collapsed="false">
      <c r="A50" s="7" t="s">
        <v>100</v>
      </c>
      <c r="B50" s="8" t="s">
        <v>101</v>
      </c>
      <c r="C50" s="16" t="n">
        <f aca="false">(C46+C47+C48+IF(C8="COD",C49,0))*(FF_VAT_Mult-1)</f>
        <v>0.679468910897164</v>
      </c>
      <c r="D50" s="16" t="n">
        <f aca="false">(D46+D47+D48+IF(D8="COD",D49,0))*(FF_VAT_Mult-1)</f>
        <v>0.679468910897164</v>
      </c>
      <c r="E50" s="16" t="n">
        <f aca="false">(E46+E47+E48+IF(E8="COD",E49,0))*(FF_VAT_Mult-1)</f>
        <v>0.759468910897164</v>
      </c>
      <c r="F50" s="16" t="n">
        <f aca="false">(F46+F47+F48+IF(F8="COD",F49,0))*(FF_VAT_Mult-1)</f>
        <v>0.759468910897164</v>
      </c>
      <c r="G50" s="16" t="n">
        <f aca="false">(G46+G47+G48+IF(G8="COD",G49,0))*(FF_VAT_Mult-1)</f>
        <v>0.679468910897164</v>
      </c>
      <c r="H50" s="16" t="n">
        <f aca="false">(H46+H47+H48+IF(H8="COD",H49,0))*(FF_VAT_Mult-1)</f>
        <v>0.856683005674334</v>
      </c>
    </row>
    <row r="51" customFormat="false" ht="15" hidden="false" customHeight="false" outlineLevel="0" collapsed="false">
      <c r="A51" s="7" t="s">
        <v>102</v>
      </c>
      <c r="B51" s="8"/>
      <c r="C51" s="16" t="n">
        <f aca="false">C24</f>
        <v>15</v>
      </c>
      <c r="D51" s="16" t="n">
        <f aca="false">D24</f>
        <v>18</v>
      </c>
      <c r="E51" s="16" t="n">
        <f aca="false">E24</f>
        <v>20</v>
      </c>
      <c r="F51" s="16" t="n">
        <f aca="false">F24</f>
        <v>20</v>
      </c>
      <c r="G51" s="16" t="n">
        <f aca="false">G24</f>
        <v>18</v>
      </c>
      <c r="H51" s="16" t="n">
        <f aca="false">H24</f>
        <v>12</v>
      </c>
    </row>
    <row r="52" customFormat="false" ht="15" hidden="false" customHeight="false" outlineLevel="0" collapsed="false">
      <c r="A52" s="7" t="s">
        <v>103</v>
      </c>
      <c r="B52" s="8" t="s">
        <v>104</v>
      </c>
      <c r="C52" s="16" t="n">
        <f aca="false">Fixed_Per_Order</f>
        <v>1.5844</v>
      </c>
      <c r="D52" s="16" t="n">
        <f aca="false">Fixed_Per_Order</f>
        <v>1.5844</v>
      </c>
      <c r="E52" s="16" t="n">
        <f aca="false">Fixed_Per_Order</f>
        <v>1.5844</v>
      </c>
      <c r="F52" s="16" t="n">
        <f aca="false">Fixed_Per_Order</f>
        <v>1.5844</v>
      </c>
      <c r="G52" s="16" t="n">
        <f aca="false">Fixed_Per_Order</f>
        <v>1.5844</v>
      </c>
      <c r="H52" s="16" t="n">
        <f aca="false">Fixed_Per_Order</f>
        <v>1.5844</v>
      </c>
    </row>
    <row r="53" customFormat="false" ht="22.35" hidden="false" customHeight="false" outlineLevel="0" collapsed="false">
      <c r="A53" s="7" t="s">
        <v>105</v>
      </c>
      <c r="B53" s="8" t="s">
        <v>106</v>
      </c>
      <c r="C53" s="16" t="n">
        <f aca="false">C25*(C38-C41*C26+(C27+FF_Reverse)*FF_VAT_Mult)</f>
        <v>0.75932132231405</v>
      </c>
      <c r="D53" s="16" t="n">
        <f aca="false">D25*(D38-D41*D26+(D27+FF_Reverse)*FF_VAT_Mult)</f>
        <v>0.75416826446281</v>
      </c>
      <c r="E53" s="16" t="n">
        <f aca="false">E25*(E38-E41*E26+(E27+FF_Reverse)*FF_VAT_Mult)</f>
        <v>1.11868462809917</v>
      </c>
      <c r="F53" s="16" t="n">
        <f aca="false">F25*(F38-F41*F26+(F27+FF_Reverse)*FF_VAT_Mult)</f>
        <v>1.09884991735537</v>
      </c>
      <c r="G53" s="16" t="n">
        <f aca="false">G25*(G38-G41*G26+(G27+FF_Reverse)*FF_VAT_Mult)</f>
        <v>1.00086247933884</v>
      </c>
      <c r="H53" s="16" t="n">
        <f aca="false">H25*(H38-H41*H26+(H27+FF_Reverse)*FF_VAT_Mult)</f>
        <v>4.39965</v>
      </c>
    </row>
    <row r="54" customFormat="false" ht="15" hidden="false" customHeight="false" outlineLevel="0" collapsed="false">
      <c r="A54" s="7" t="s">
        <v>107</v>
      </c>
      <c r="B54" s="8"/>
      <c r="C54" s="16" t="n">
        <f aca="false">C41+C46+C47+C48+C49+C50+C51+C52+C53</f>
        <v>28.944594787697</v>
      </c>
      <c r="D54" s="16" t="n">
        <f aca="false">D41+D46+D47+D48+D49+D50+D51+D52+D53</f>
        <v>37.5894417298458</v>
      </c>
      <c r="E54" s="16" t="n">
        <f aca="false">E41+E46+E47+E48+E49+E50+E51+E52+E53</f>
        <v>46.8890980934822</v>
      </c>
      <c r="F54" s="16" t="n">
        <f aca="false">F41+F46+F47+F48+F49+F50+F51+F52+F53</f>
        <v>46.8260633827384</v>
      </c>
      <c r="G54" s="16" t="n">
        <f aca="false">G41+G46+G47+G48+G49+G50+G51+G52+G53</f>
        <v>38.3734359447218</v>
      </c>
      <c r="H54" s="16" t="n">
        <f aca="false">H41+H46+H47+H48+H49+H50+H51+H52+H53</f>
        <v>28.504148034046</v>
      </c>
    </row>
    <row r="55" customFormat="false" ht="15" hidden="false" customHeight="false" outlineLevel="0" collapsed="false">
      <c r="A55" s="5" t="s">
        <v>108</v>
      </c>
      <c r="B55" s="6"/>
      <c r="C55" s="6"/>
      <c r="D55" s="6"/>
      <c r="E55" s="6"/>
      <c r="F55" s="6"/>
      <c r="G55" s="6"/>
      <c r="H55" s="6"/>
    </row>
    <row r="56" customFormat="false" ht="15" hidden="false" customHeight="false" outlineLevel="0" collapsed="false">
      <c r="A56" s="20" t="s">
        <v>109</v>
      </c>
      <c r="B56" s="8" t="s">
        <v>110</v>
      </c>
      <c r="C56" s="21" t="n">
        <f aca="false">C38-C54</f>
        <v>-0.109884043895377</v>
      </c>
      <c r="D56" s="21" t="n">
        <f aca="false">D38-D54</f>
        <v>-4.62249958108546</v>
      </c>
      <c r="E56" s="21" t="n">
        <f aca="false">E38-E54</f>
        <v>2.53238950982362</v>
      </c>
      <c r="F56" s="21" t="n">
        <f aca="false">F38-F54</f>
        <v>1.93426719577404</v>
      </c>
      <c r="G56" s="21" t="n">
        <f aca="false">G38-G54</f>
        <v>2.81664669990627</v>
      </c>
      <c r="H56" s="21" t="n">
        <f aca="false">H38-H54</f>
        <v>0.570851965953999</v>
      </c>
    </row>
    <row r="57" customFormat="false" ht="15" hidden="false" customHeight="false" outlineLevel="0" collapsed="false">
      <c r="A57" s="22" t="s">
        <v>111</v>
      </c>
      <c r="B57" s="8"/>
      <c r="C57" s="23" t="n">
        <f aca="false">IF(C38&gt;0,C56/C38,0)</f>
        <v>-0.00381082525403859</v>
      </c>
      <c r="D57" s="23" t="n">
        <f aca="false">IF(D38&gt;0,D56/D38,0)</f>
        <v>-0.140216206896801</v>
      </c>
      <c r="E57" s="23" t="n">
        <f aca="false">IF(E38&gt;0,E56/E38,0)</f>
        <v>0.0512406573057957</v>
      </c>
      <c r="F57" s="23" t="n">
        <f aca="false">IF(F38&gt;0,F56/F38,0)</f>
        <v>0.0396688696082473</v>
      </c>
      <c r="G57" s="23" t="n">
        <f aca="false">IF(G38&gt;0,G56/G38,0)</f>
        <v>0.0683816714864886</v>
      </c>
      <c r="H57" s="23" t="n">
        <f aca="false">IF(H38&gt;0,H56/H38,0)</f>
        <v>0.0196337735495786</v>
      </c>
    </row>
    <row r="58" customFormat="false" ht="15" hidden="false" customHeight="false" outlineLevel="0" collapsed="false">
      <c r="A58" s="22" t="s">
        <v>112</v>
      </c>
      <c r="B58" s="8"/>
      <c r="C58" s="24" t="n">
        <f aca="false">IF(C29&gt;0,C56/C29,0)</f>
        <v>-0.109884043895377</v>
      </c>
      <c r="D58" s="24" t="n">
        <f aca="false">IF(D29&gt;0,D56/D29,0)</f>
        <v>-2.31124979054273</v>
      </c>
      <c r="E58" s="24" t="n">
        <f aca="false">IF(E29&gt;0,E56/E29,0)</f>
        <v>0.844129836607875</v>
      </c>
      <c r="F58" s="24" t="n">
        <f aca="false">IF(F29&gt;0,F56/F29,0)</f>
        <v>0.64475573192468</v>
      </c>
      <c r="G58" s="24" t="n">
        <f aca="false">IF(G29&gt;0,G56/G29,0)</f>
        <v>1.40832334995314</v>
      </c>
      <c r="H58" s="24" t="n">
        <f aca="false">IF(H29&gt;0,H56/H29,0)</f>
        <v>0.570851965953999</v>
      </c>
    </row>
    <row r="59" customFormat="false" ht="15" hidden="false" customHeight="false" outlineLevel="0" collapsed="false">
      <c r="A59" s="22" t="s">
        <v>113</v>
      </c>
      <c r="B59" s="8"/>
      <c r="C59" s="25" t="n">
        <f aca="false">IF(C24&gt;0,C32/C24,0)</f>
        <v>2.326</v>
      </c>
      <c r="D59" s="25" t="n">
        <f aca="false">IF(D24&gt;0,D32/D24,0)</f>
        <v>2.21611111111111</v>
      </c>
      <c r="E59" s="25" t="n">
        <f aca="false">IF(E24&gt;0,E32/E24,0)</f>
        <v>2.99</v>
      </c>
      <c r="F59" s="25" t="n">
        <f aca="false">IF(F24&gt;0,F32/F24,0)</f>
        <v>2.95</v>
      </c>
      <c r="G59" s="25" t="n">
        <f aca="false">IF(G24&gt;0,G32/G24,0)</f>
        <v>2.76888888888889</v>
      </c>
      <c r="H59" s="25" t="n">
        <f aca="false">IF(H24&gt;0,H32/H24,0)</f>
        <v>2.9075</v>
      </c>
    </row>
    <row r="60" customFormat="false" ht="15" hidden="false" customHeight="false" outlineLevel="0" collapsed="false">
      <c r="A60" s="22" t="s">
        <v>114</v>
      </c>
      <c r="B60" s="8" t="s">
        <v>115</v>
      </c>
      <c r="C60" s="24" t="n">
        <f aca="false">C56+C51</f>
        <v>14.8901159561046</v>
      </c>
      <c r="D60" s="24" t="n">
        <f aca="false">D56+D51</f>
        <v>13.3775004189145</v>
      </c>
      <c r="E60" s="24" t="n">
        <f aca="false">E56+E51</f>
        <v>22.5323895098236</v>
      </c>
      <c r="F60" s="24" t="n">
        <f aca="false">F56+F51</f>
        <v>21.934267195774</v>
      </c>
      <c r="G60" s="24" t="n">
        <f aca="false">G56+G51</f>
        <v>20.8166466999063</v>
      </c>
      <c r="H60" s="24" t="n">
        <f aca="false">H56+H51</f>
        <v>12.570851965954</v>
      </c>
    </row>
    <row r="61" customFormat="false" ht="15" hidden="false" customHeight="false" outlineLevel="0" collapsed="false">
      <c r="A61" s="22" t="s">
        <v>116</v>
      </c>
      <c r="B61" s="8" t="s">
        <v>117</v>
      </c>
      <c r="C61" s="25" t="n">
        <f aca="false">IF(C60&gt;0,C32/C60,"never")</f>
        <v>2.3431650970922</v>
      </c>
      <c r="D61" s="25" t="n">
        <f aca="false">IF(D60&gt;0,D32/D60,"never")</f>
        <v>2.98187245381052</v>
      </c>
      <c r="E61" s="25" t="n">
        <f aca="false">IF(E60&gt;0,E32/E60,"never")</f>
        <v>2.65395731659656</v>
      </c>
      <c r="F61" s="25" t="n">
        <f aca="false">IF(F60&gt;0,F32/F60,"never")</f>
        <v>2.68985507805646</v>
      </c>
      <c r="G61" s="25" t="n">
        <f aca="false">IF(G60&gt;0,G32/G60,"never")</f>
        <v>2.39423768479601</v>
      </c>
      <c r="H61" s="25" t="n">
        <f aca="false">IF(H60&gt;0,H32/H60,"never")</f>
        <v>2.77546820967215</v>
      </c>
    </row>
    <row r="62" customFormat="false" ht="15" hidden="false" customHeight="false" outlineLevel="0" collapsed="false">
      <c r="A62" s="22" t="s">
        <v>118</v>
      </c>
      <c r="B62" s="8" t="s">
        <v>119</v>
      </c>
      <c r="C62" s="24" t="n">
        <f aca="false">C60-Target_Margin*C38</f>
        <v>9.12317380734429</v>
      </c>
      <c r="D62" s="24" t="n">
        <f aca="false">D60-Target_Margin*D38</f>
        <v>6.78411198916247</v>
      </c>
      <c r="E62" s="24" t="n">
        <f aca="false">E60-Target_Margin*E38</f>
        <v>12.6480919891625</v>
      </c>
      <c r="F62" s="24" t="n">
        <f aca="false">F60-Target_Margin*F38</f>
        <v>12.1822010800716</v>
      </c>
      <c r="G62" s="24" t="n">
        <f aca="false">G60-Target_Margin*G38</f>
        <v>12.5786301709807</v>
      </c>
      <c r="H62" s="24" t="n">
        <f aca="false">H60-Target_Margin*H38</f>
        <v>6.755851965954</v>
      </c>
    </row>
    <row r="63" customFormat="false" ht="15" hidden="false" customHeight="false" outlineLevel="0" collapsed="false">
      <c r="A63" s="22" t="s">
        <v>120</v>
      </c>
      <c r="B63" s="8" t="s">
        <v>121</v>
      </c>
      <c r="C63" s="24" t="n">
        <f aca="false">C56*Orders_Month</f>
        <v>-16.4826065843066</v>
      </c>
      <c r="D63" s="24" t="n">
        <f aca="false">D56*Orders_Month</f>
        <v>-693.37493716282</v>
      </c>
      <c r="E63" s="24" t="n">
        <f aca="false">E56*Orders_Month</f>
        <v>379.858426473544</v>
      </c>
      <c r="F63" s="24" t="n">
        <f aca="false">F56*Orders_Month</f>
        <v>290.140079366106</v>
      </c>
      <c r="G63" s="24" t="n">
        <f aca="false">G56*Orders_Month</f>
        <v>422.497004985941</v>
      </c>
      <c r="H63" s="24" t="n">
        <f aca="false">H56*Orders_Month</f>
        <v>85.6277948930998</v>
      </c>
    </row>
    <row r="64" customFormat="false" ht="27.75" hidden="false" customHeight="true" outlineLevel="0" collapsed="false">
      <c r="A64" s="22" t="s">
        <v>122</v>
      </c>
      <c r="B64" s="8"/>
      <c r="C64" s="26" t="str">
        <f aca="false">IF(ISNA(MATCH(C7,Dest_List,0)),"Pick a destination",IF(C45=0,"Weight not offered by this courier",IF(AND(C8="COD",IFERROR(INDEX(Dest_CODok,MATCH(C7,Dest_List,0)),"No")="No"),"COD not offered by this courier",IF(C56&lt;0,"Losing money at this cost per result","OK"))))</f>
        <v>Losing money at this cost per result</v>
      </c>
      <c r="D64" s="26" t="str">
        <f aca="false">IF(ISNA(MATCH(D7,Dest_List,0)),"Pick a destination",IF(D45=0,"Weight not offered by this courier",IF(AND(D8="COD",IFERROR(INDEX(Dest_CODok,MATCH(D7,Dest_List,0)),"No")="No"),"COD not offered by this courier",IF(D56&lt;0,"Losing money at this cost per result","OK"))))</f>
        <v>Losing money at this cost per result</v>
      </c>
      <c r="E64" s="26" t="str">
        <f aca="false">IF(ISNA(MATCH(E7,Dest_List,0)),"Pick a destination",IF(E45=0,"Weight not offered by this courier",IF(AND(E8="COD",IFERROR(INDEX(Dest_CODok,MATCH(E7,Dest_List,0)),"No")="No"),"COD not offered by this courier",IF(E56&lt;0,"Losing money at this cost per result","OK"))))</f>
        <v>OK</v>
      </c>
      <c r="F64" s="26" t="str">
        <f aca="false">IF(ISNA(MATCH(F7,Dest_List,0)),"Pick a destination",IF(F45=0,"Weight not offered by this courier",IF(AND(F8="COD",IFERROR(INDEX(Dest_CODok,MATCH(F7,Dest_List,0)),"No")="No"),"COD not offered by this courier",IF(F56&lt;0,"Losing money at this cost per result","OK"))))</f>
        <v>OK</v>
      </c>
      <c r="G64" s="26" t="str">
        <f aca="false">IF(ISNA(MATCH(G7,Dest_List,0)),"Pick a destination",IF(G45=0,"Weight not offered by this courier",IF(AND(G8="COD",IFERROR(INDEX(Dest_CODok,MATCH(G7,Dest_List,0)),"No")="No"),"COD not offered by this courier",IF(G56&lt;0,"Losing money at this cost per result","OK"))))</f>
        <v>OK</v>
      </c>
      <c r="H64" s="26" t="str">
        <f aca="false">IF(ISNA(MATCH(H7,Dest_List,0)),"Pick a destination",IF(H45=0,"Weight not offered by this courier",IF(AND(H8="COD",IFERROR(INDEX(Dest_CODok,MATCH(H7,Dest_List,0)),"No")="No"),"COD not offered by this courier",IF(H56&lt;0,"Losing money at this cost per result","OK"))))</f>
        <v>OK</v>
      </c>
    </row>
    <row r="66" customFormat="false" ht="15" hidden="false" customHeight="false" outlineLevel="0" collapsed="false">
      <c r="A66" s="27" t="s">
        <v>123</v>
      </c>
    </row>
    <row r="67" customFormat="false" ht="15" hidden="false" customHeight="false" outlineLevel="0" collapsed="false">
      <c r="A67" s="28" t="s">
        <v>124</v>
      </c>
    </row>
    <row r="68" customFormat="false" ht="15" hidden="false" customHeight="false" outlineLevel="0" collapsed="false">
      <c r="A68" s="29" t="s">
        <v>125</v>
      </c>
    </row>
    <row r="69" customFormat="false" ht="15" hidden="false" customHeight="false" outlineLevel="0" collapsed="false">
      <c r="A69" s="30" t="s">
        <v>126</v>
      </c>
    </row>
  </sheetData>
  <mergeCells count="1">
    <mergeCell ref="A2:H2"/>
  </mergeCells>
  <conditionalFormatting sqref="C56:H56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C57:H57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1">
      <formula>0</formula>
    </cfRule>
  </conditionalFormatting>
  <conditionalFormatting sqref="C58:H58">
    <cfRule type="cellIs" priority="6" operator="lessThan" aboveAverage="0" equalAverage="0" bottom="0" percent="0" rank="0" text="" dxfId="0">
      <formula>0</formula>
    </cfRule>
    <cfRule type="cellIs" priority="7" operator="greaterThan" aboveAverage="0" equalAverage="0" bottom="0" percent="0" rank="0" text="" dxfId="1">
      <formula>0</formula>
    </cfRule>
  </conditionalFormatting>
  <conditionalFormatting sqref="C63:H63">
    <cfRule type="cellIs" priority="8" operator="lessThan" aboveAverage="0" equalAverage="0" bottom="0" percent="0" rank="0" text="" dxfId="0">
      <formula>0</formula>
    </cfRule>
    <cfRule type="cellIs" priority="9" operator="greaterThan" aboveAverage="0" equalAverage="0" bottom="0" percent="0" rank="0" text="" dxfId="1">
      <formula>0</formula>
    </cfRule>
  </conditionalFormatting>
  <conditionalFormatting sqref="C60:H60">
    <cfRule type="cellIs" priority="10" operator="lessThan" aboveAverage="0" equalAverage="0" bottom="0" percent="0" rank="0" text="" dxfId="0">
      <formula>0</formula>
    </cfRule>
    <cfRule type="cellIs" priority="11" operator="greaterThan" aboveAverage="0" equalAverage="0" bottom="0" percent="0" rank="0" text="" dxfId="1">
      <formula>0</formula>
    </cfRule>
  </conditionalFormatting>
  <conditionalFormatting sqref="C62:H62">
    <cfRule type="cellIs" priority="12" operator="lessThan" aboveAverage="0" equalAverage="0" bottom="0" percent="0" rank="0" text="" dxfId="0">
      <formula>0</formula>
    </cfRule>
    <cfRule type="cellIs" priority="13" operator="greaterThan" aboveAverage="0" equalAverage="0" bottom="0" percent="0" rank="0" text="" dxfId="1">
      <formula>0</formula>
    </cfRule>
  </conditionalFormatting>
  <conditionalFormatting sqref="C64:H64">
    <cfRule type="expression" priority="14" aboveAverage="0" equalAverage="0" bottom="0" percent="0" rank="0" text="" dxfId="2">
      <formula>C64&lt;&gt;"OK"</formula>
    </cfRule>
  </conditionalFormatting>
  <conditionalFormatting sqref="C59:H59">
    <cfRule type="expression" priority="15" aboveAverage="0" equalAverage="0" bottom="0" percent="0" rank="0" text="" dxfId="1">
      <formula>AND(ISNUMBER(C61),C59&gt;=C61)</formula>
    </cfRule>
    <cfRule type="expression" priority="16" aboveAverage="0" equalAverage="0" bottom="0" percent="0" rank="0" text="" dxfId="0">
      <formula>OR(NOT(ISNUMBER(C61)),C59&lt;C61)</formula>
    </cfRule>
  </conditionalFormatting>
  <dataValidations count="2">
    <dataValidation allowBlank="false" errorStyle="stop" operator="between" showDropDown="false" showErrorMessage="false" showInputMessage="false" sqref="C7:H7" type="list">
      <formula1>Dest_List</formula1>
      <formula2>0</formula2>
    </dataValidation>
    <dataValidation allowBlank="false" errorStyle="stop" operator="between" showDropDown="false" showErrorMessage="false" showInputMessage="false" sqref="C8:H8" type="list">
      <formula1>"Card (Stripe),COD"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80"/>
  </cols>
  <sheetData>
    <row r="1" customFormat="false" ht="17.35" hidden="false" customHeight="false" outlineLevel="0" collapsed="false">
      <c r="B1" s="1" t="s">
        <v>127</v>
      </c>
    </row>
    <row r="2" customFormat="false" ht="15" hidden="false" customHeight="false" outlineLevel="0" collapsed="false">
      <c r="B2" s="31" t="s">
        <v>128</v>
      </c>
    </row>
    <row r="5" customFormat="false" ht="15" hidden="false" customHeight="false" outlineLevel="0" collapsed="false">
      <c r="B5" s="5" t="s">
        <v>129</v>
      </c>
      <c r="C5" s="6"/>
      <c r="D5" s="6"/>
      <c r="E5" s="6"/>
    </row>
    <row r="6" customFormat="false" ht="23.85" hidden="false" customHeight="false" outlineLevel="0" collapsed="false">
      <c r="B6" s="30" t="s">
        <v>130</v>
      </c>
      <c r="C6" s="32" t="s">
        <v>131</v>
      </c>
      <c r="E6" s="33" t="s">
        <v>132</v>
      </c>
    </row>
    <row r="7" customFormat="false" ht="23.85" hidden="false" customHeight="false" outlineLevel="0" collapsed="false">
      <c r="B7" s="30" t="s">
        <v>133</v>
      </c>
      <c r="C7" s="34" t="n">
        <v>0</v>
      </c>
      <c r="E7" s="33" t="s">
        <v>134</v>
      </c>
    </row>
    <row r="8" customFormat="false" ht="15" hidden="false" customHeight="false" outlineLevel="0" collapsed="false">
      <c r="B8" s="30" t="s">
        <v>135</v>
      </c>
      <c r="C8" s="35" t="n">
        <f aca="false">INDEX(Stripe_Pct_List,MATCH(Stripe_Choice,Stripe_Names,0))</f>
        <v>0.054</v>
      </c>
      <c r="E8" s="33"/>
    </row>
    <row r="9" customFormat="false" ht="15" hidden="false" customHeight="false" outlineLevel="0" collapsed="false">
      <c r="B9" s="30" t="s">
        <v>136</v>
      </c>
      <c r="C9" s="36" t="n">
        <f aca="false">INDEX(Stripe_Fix_List,MATCH(Stripe_Choice,Stripe_Names,0))</f>
        <v>0.26</v>
      </c>
      <c r="E9" s="33"/>
    </row>
    <row r="11" customFormat="false" ht="15" hidden="false" customHeight="false" outlineLevel="0" collapsed="false">
      <c r="B11" s="37" t="s">
        <v>137</v>
      </c>
      <c r="C11" s="37" t="s">
        <v>138</v>
      </c>
      <c r="D11" s="37" t="s">
        <v>139</v>
      </c>
      <c r="E11" s="37" t="s">
        <v>140</v>
      </c>
    </row>
    <row r="12" customFormat="false" ht="15" hidden="false" customHeight="false" outlineLevel="0" collapsed="false">
      <c r="B12" s="38" t="s">
        <v>131</v>
      </c>
      <c r="C12" s="39" t="n">
        <v>0.054</v>
      </c>
      <c r="D12" s="40" t="n">
        <v>0.26</v>
      </c>
      <c r="E12" s="41" t="s">
        <v>141</v>
      </c>
    </row>
    <row r="13" customFormat="false" ht="15" hidden="false" customHeight="false" outlineLevel="0" collapsed="false">
      <c r="B13" s="38" t="s">
        <v>142</v>
      </c>
      <c r="C13" s="39" t="n">
        <v>0.044</v>
      </c>
      <c r="D13" s="40" t="n">
        <v>0.26</v>
      </c>
      <c r="E13" s="41" t="s">
        <v>143</v>
      </c>
    </row>
    <row r="14" customFormat="false" ht="15" hidden="false" customHeight="false" outlineLevel="0" collapsed="false">
      <c r="B14" s="38" t="s">
        <v>144</v>
      </c>
      <c r="C14" s="39" t="n">
        <v>0.015</v>
      </c>
      <c r="D14" s="40" t="n">
        <v>0.25</v>
      </c>
      <c r="E14" s="41" t="s">
        <v>145</v>
      </c>
    </row>
    <row r="15" customFormat="false" ht="15" hidden="false" customHeight="false" outlineLevel="0" collapsed="false">
      <c r="B15" s="38" t="s">
        <v>146</v>
      </c>
      <c r="C15" s="39" t="n">
        <v>0.019</v>
      </c>
      <c r="D15" s="40" t="n">
        <v>0.25</v>
      </c>
      <c r="E15" s="41" t="s">
        <v>147</v>
      </c>
    </row>
    <row r="16" customFormat="false" ht="15" hidden="false" customHeight="false" outlineLevel="0" collapsed="false">
      <c r="B16" s="38" t="s">
        <v>148</v>
      </c>
      <c r="C16" s="39" t="n">
        <v>0.035</v>
      </c>
      <c r="D16" s="40" t="n">
        <v>0.25</v>
      </c>
      <c r="E16" s="41" t="s">
        <v>149</v>
      </c>
    </row>
    <row r="18" customFormat="false" ht="15" hidden="false" customHeight="false" outlineLevel="0" collapsed="false">
      <c r="B18" s="5" t="s">
        <v>150</v>
      </c>
      <c r="C18" s="6"/>
      <c r="D18" s="6"/>
      <c r="E18" s="6"/>
    </row>
    <row r="19" customFormat="false" ht="35.05" hidden="false" customHeight="false" outlineLevel="0" collapsed="false">
      <c r="B19" s="30" t="s">
        <v>151</v>
      </c>
      <c r="C19" s="32" t="s">
        <v>152</v>
      </c>
      <c r="E19" s="33" t="s">
        <v>153</v>
      </c>
    </row>
    <row r="20" customFormat="false" ht="15" hidden="false" customHeight="false" outlineLevel="0" collapsed="false">
      <c r="B20" s="30" t="s">
        <v>154</v>
      </c>
      <c r="C20" s="34" t="n">
        <v>0.2</v>
      </c>
      <c r="E20" s="33" t="s">
        <v>155</v>
      </c>
    </row>
    <row r="21" customFormat="false" ht="23.85" hidden="false" customHeight="false" outlineLevel="0" collapsed="false">
      <c r="B21" s="30" t="s">
        <v>156</v>
      </c>
      <c r="C21" s="32" t="s">
        <v>157</v>
      </c>
      <c r="E21" s="33" t="s">
        <v>158</v>
      </c>
    </row>
    <row r="22" customFormat="false" ht="15" hidden="false" customHeight="false" outlineLevel="0" collapsed="false">
      <c r="B22" s="30" t="s">
        <v>159</v>
      </c>
      <c r="C22" s="42" t="n">
        <f aca="false">IF(FF_VAT_Reclaim="No",1+FF_VAT_Rate,1)</f>
        <v>1.2</v>
      </c>
      <c r="E22" s="33"/>
    </row>
    <row r="24" customFormat="false" ht="15" hidden="false" customHeight="false" outlineLevel="0" collapsed="false">
      <c r="B24" s="5" t="s">
        <v>160</v>
      </c>
      <c r="C24" s="6"/>
      <c r="D24" s="6"/>
      <c r="E24" s="6"/>
    </row>
    <row r="25" customFormat="false" ht="15" hidden="false" customHeight="false" outlineLevel="0" collapsed="false">
      <c r="B25" s="30" t="s">
        <v>161</v>
      </c>
      <c r="C25" s="43" t="n">
        <v>0.65</v>
      </c>
      <c r="E25" s="33" t="s">
        <v>162</v>
      </c>
    </row>
    <row r="26" customFormat="false" ht="15" hidden="false" customHeight="false" outlineLevel="0" collapsed="false">
      <c r="B26" s="30" t="s">
        <v>163</v>
      </c>
      <c r="C26" s="44" t="n">
        <v>2</v>
      </c>
      <c r="E26" s="33"/>
    </row>
    <row r="27" customFormat="false" ht="15" hidden="false" customHeight="false" outlineLevel="0" collapsed="false">
      <c r="B27" s="30" t="s">
        <v>164</v>
      </c>
      <c r="C27" s="43" t="n">
        <v>0.35</v>
      </c>
      <c r="E27" s="33" t="s">
        <v>165</v>
      </c>
    </row>
    <row r="28" customFormat="false" ht="15" hidden="false" customHeight="false" outlineLevel="0" collapsed="false">
      <c r="B28" s="30" t="s">
        <v>166</v>
      </c>
      <c r="C28" s="44" t="n">
        <v>5</v>
      </c>
      <c r="E28" s="33"/>
    </row>
    <row r="29" customFormat="false" ht="15" hidden="false" customHeight="false" outlineLevel="0" collapsed="false">
      <c r="B29" s="30" t="s">
        <v>167</v>
      </c>
      <c r="C29" s="43" t="n">
        <v>0.65</v>
      </c>
      <c r="E29" s="33"/>
    </row>
    <row r="30" customFormat="false" ht="15" hidden="false" customHeight="false" outlineLevel="0" collapsed="false">
      <c r="B30" s="30" t="s">
        <v>168</v>
      </c>
      <c r="C30" s="43" t="n">
        <v>0.08</v>
      </c>
      <c r="E30" s="33" t="s">
        <v>169</v>
      </c>
    </row>
    <row r="31" customFormat="false" ht="15" hidden="false" customHeight="false" outlineLevel="0" collapsed="false">
      <c r="B31" s="30" t="s">
        <v>170</v>
      </c>
      <c r="C31" s="43" t="n">
        <v>0.13</v>
      </c>
      <c r="E31" s="33"/>
    </row>
    <row r="32" customFormat="false" ht="15" hidden="false" customHeight="false" outlineLevel="0" collapsed="false">
      <c r="B32" s="30" t="s">
        <v>171</v>
      </c>
      <c r="C32" s="43" t="n">
        <v>0.65</v>
      </c>
      <c r="E32" s="33" t="s">
        <v>172</v>
      </c>
    </row>
    <row r="33" customFormat="false" ht="15" hidden="false" customHeight="false" outlineLevel="0" collapsed="false">
      <c r="B33" s="30" t="s">
        <v>173</v>
      </c>
      <c r="C33" s="45" t="s">
        <v>174</v>
      </c>
      <c r="E33" s="33" t="s">
        <v>175</v>
      </c>
    </row>
    <row r="35" customFormat="false" ht="15" hidden="false" customHeight="false" outlineLevel="0" collapsed="false">
      <c r="B35" s="5" t="s">
        <v>176</v>
      </c>
      <c r="C35" s="6"/>
      <c r="D35" s="6"/>
      <c r="E35" s="6"/>
    </row>
    <row r="36" customFormat="false" ht="15" hidden="false" customHeight="false" outlineLevel="0" collapsed="false">
      <c r="B36" s="30" t="s">
        <v>177</v>
      </c>
      <c r="C36" s="46" t="n">
        <v>150</v>
      </c>
      <c r="E36" s="33" t="s">
        <v>178</v>
      </c>
    </row>
    <row r="37" customFormat="false" ht="15" hidden="false" customHeight="false" outlineLevel="0" collapsed="false">
      <c r="B37" s="30" t="s">
        <v>179</v>
      </c>
      <c r="C37" s="47" t="n">
        <v>1</v>
      </c>
      <c r="E37" s="33"/>
    </row>
    <row r="38" customFormat="false" ht="15" hidden="false" customHeight="false" outlineLevel="0" collapsed="false">
      <c r="B38" s="30" t="s">
        <v>180</v>
      </c>
      <c r="C38" s="43" t="n">
        <v>17</v>
      </c>
      <c r="E38" s="33"/>
    </row>
    <row r="39" customFormat="false" ht="15" hidden="false" customHeight="false" outlineLevel="0" collapsed="false">
      <c r="B39" s="30" t="s">
        <v>181</v>
      </c>
      <c r="C39" s="43" t="n">
        <v>165</v>
      </c>
      <c r="E39" s="33" t="s">
        <v>182</v>
      </c>
    </row>
    <row r="40" customFormat="false" ht="15" hidden="false" customHeight="false" outlineLevel="0" collapsed="false">
      <c r="B40" s="30" t="s">
        <v>183</v>
      </c>
      <c r="C40" s="46" t="n">
        <v>300</v>
      </c>
      <c r="E40" s="33"/>
    </row>
    <row r="41" customFormat="false" ht="15" hidden="false" customHeight="false" outlineLevel="0" collapsed="false">
      <c r="B41" s="30" t="s">
        <v>184</v>
      </c>
      <c r="C41" s="44" t="n">
        <v>1</v>
      </c>
      <c r="E41" s="33"/>
    </row>
    <row r="42" customFormat="false" ht="15" hidden="false" customHeight="false" outlineLevel="0" collapsed="false">
      <c r="B42" s="30" t="s">
        <v>185</v>
      </c>
      <c r="C42" s="43" t="n">
        <v>0.55</v>
      </c>
      <c r="E42" s="33"/>
    </row>
    <row r="43" customFormat="false" ht="15" hidden="false" customHeight="false" outlineLevel="0" collapsed="false">
      <c r="B43" s="30" t="s">
        <v>186</v>
      </c>
      <c r="C43" s="43" t="n">
        <v>39</v>
      </c>
      <c r="E43" s="33" t="s">
        <v>187</v>
      </c>
    </row>
    <row r="44" customFormat="false" ht="15" hidden="false" customHeight="false" outlineLevel="0" collapsed="false">
      <c r="B44" s="30" t="s">
        <v>188</v>
      </c>
      <c r="C44" s="43" t="n">
        <v>0</v>
      </c>
      <c r="E44" s="33"/>
    </row>
    <row r="45" customFormat="false" ht="15" hidden="false" customHeight="false" outlineLevel="0" collapsed="false">
      <c r="B45" s="30" t="s">
        <v>189</v>
      </c>
      <c r="C45" s="36" t="n">
        <f aca="false">IF(Orders_Month&lt;Storage_Min_Orders,MAX(Storage_Min,Pallets*Storage_Pallet),Pallets*Storage_Pallet)*FF_VAT_Mult+PP_Locations*PP_Price*FF_VAT_Mult</f>
        <v>198.66</v>
      </c>
      <c r="E45" s="33"/>
    </row>
    <row r="46" customFormat="false" ht="15" hidden="false" customHeight="false" outlineLevel="0" collapsed="false">
      <c r="B46" s="30" t="s">
        <v>190</v>
      </c>
      <c r="C46" s="36" t="n">
        <f aca="false">WH_Month+Platform_Fee+Other_Fixed</f>
        <v>237.66</v>
      </c>
      <c r="E46" s="33"/>
    </row>
    <row r="47" customFormat="false" ht="15" hidden="false" customHeight="false" outlineLevel="0" collapsed="false">
      <c r="B47" s="30" t="s">
        <v>191</v>
      </c>
      <c r="C47" s="32" t="s">
        <v>152</v>
      </c>
      <c r="E47" s="33" t="s">
        <v>192</v>
      </c>
    </row>
    <row r="48" customFormat="false" ht="15" hidden="false" customHeight="false" outlineLevel="0" collapsed="false">
      <c r="B48" s="30" t="s">
        <v>193</v>
      </c>
      <c r="C48" s="36" t="n">
        <f aca="false">IF(AND(Include_Fixed="Yes",Orders_Month&gt;0),Fixed_Month/Orders_Month,0)</f>
        <v>1.5844</v>
      </c>
      <c r="E48" s="33"/>
    </row>
    <row r="50" customFormat="false" ht="15" hidden="false" customHeight="false" outlineLevel="0" collapsed="false">
      <c r="B50" s="5" t="s">
        <v>194</v>
      </c>
      <c r="C50" s="6"/>
      <c r="D50" s="6"/>
      <c r="E50" s="6"/>
    </row>
    <row r="51" customFormat="false" ht="15" hidden="false" customHeight="false" outlineLevel="0" collapsed="false">
      <c r="B51" s="30" t="s">
        <v>195</v>
      </c>
      <c r="C51" s="34" t="n">
        <v>0.2</v>
      </c>
      <c r="E51" s="33" t="s">
        <v>196</v>
      </c>
    </row>
  </sheetData>
  <dataValidations count="2">
    <dataValidation allowBlank="false" errorStyle="stop" operator="between" showDropDown="false" showErrorMessage="false" showInputMessage="false" sqref="C19 C21 C47" type="list">
      <formula1>"Yes,No"</formula1>
      <formula2>0</formula2>
    </dataValidation>
    <dataValidation allowBlank="false" errorStyle="stop" operator="between" showDropDown="false" showErrorMessage="false" showInputMessage="false" sqref="C6" type="list">
      <formula1>Stripe_Names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10" min="5" style="0" width="10"/>
    <col collapsed="false" customWidth="true" hidden="false" outlineLevel="0" max="42" min="11" style="0" width="7.5"/>
    <col collapsed="false" customWidth="true" hidden="false" outlineLevel="0" max="43" min="43" style="0" width="70"/>
  </cols>
  <sheetData>
    <row r="1" customFormat="false" ht="17.35" hidden="false" customHeight="false" outlineLevel="0" collapsed="false">
      <c r="A1" s="1" t="s">
        <v>197</v>
      </c>
    </row>
    <row r="2" customFormat="false" ht="30" hidden="false" customHeight="true" outlineLevel="0" collapsed="false">
      <c r="A2" s="48" t="s">
        <v>198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customFormat="false" ht="15" hidden="false" customHeight="false" outlineLevel="0" collapsed="false">
      <c r="K3" s="27" t="s">
        <v>199</v>
      </c>
    </row>
    <row r="4" customFormat="false" ht="42" hidden="false" customHeight="true" outlineLevel="0" collapsed="false">
      <c r="A4" s="49" t="s">
        <v>200</v>
      </c>
      <c r="B4" s="49" t="s">
        <v>201</v>
      </c>
      <c r="C4" s="49" t="s">
        <v>202</v>
      </c>
      <c r="D4" s="49" t="s">
        <v>203</v>
      </c>
      <c r="E4" s="49" t="s">
        <v>204</v>
      </c>
      <c r="F4" s="49" t="s">
        <v>205</v>
      </c>
      <c r="G4" s="49" t="s">
        <v>206</v>
      </c>
      <c r="H4" s="49" t="s">
        <v>207</v>
      </c>
      <c r="I4" s="49" t="s">
        <v>208</v>
      </c>
      <c r="J4" s="49" t="s">
        <v>209</v>
      </c>
      <c r="K4" s="50" t="n">
        <v>0.25</v>
      </c>
      <c r="L4" s="50" t="n">
        <v>0.5</v>
      </c>
      <c r="M4" s="50" t="n">
        <v>1</v>
      </c>
      <c r="N4" s="50" t="n">
        <v>2</v>
      </c>
      <c r="O4" s="50" t="n">
        <v>3</v>
      </c>
      <c r="P4" s="50" t="n">
        <v>4</v>
      </c>
      <c r="Q4" s="50" t="n">
        <v>5</v>
      </c>
      <c r="R4" s="50" t="n">
        <v>6</v>
      </c>
      <c r="S4" s="50" t="n">
        <v>7</v>
      </c>
      <c r="T4" s="50" t="n">
        <v>8</v>
      </c>
      <c r="U4" s="50" t="n">
        <v>9</v>
      </c>
      <c r="V4" s="50" t="n">
        <v>10</v>
      </c>
      <c r="W4" s="50" t="n">
        <v>11</v>
      </c>
      <c r="X4" s="50" t="n">
        <v>12</v>
      </c>
      <c r="Y4" s="50" t="n">
        <v>13</v>
      </c>
      <c r="Z4" s="50" t="n">
        <v>14</v>
      </c>
      <c r="AA4" s="50" t="n">
        <v>15</v>
      </c>
      <c r="AB4" s="50" t="n">
        <v>16</v>
      </c>
      <c r="AC4" s="50" t="n">
        <v>17</v>
      </c>
      <c r="AD4" s="50" t="n">
        <v>18</v>
      </c>
      <c r="AE4" s="50" t="n">
        <v>19</v>
      </c>
      <c r="AF4" s="50" t="n">
        <v>20</v>
      </c>
      <c r="AG4" s="50" t="n">
        <v>21</v>
      </c>
      <c r="AH4" s="50" t="n">
        <v>22</v>
      </c>
      <c r="AI4" s="50" t="n">
        <v>23</v>
      </c>
      <c r="AJ4" s="50" t="n">
        <v>24</v>
      </c>
      <c r="AK4" s="50" t="n">
        <v>25</v>
      </c>
      <c r="AL4" s="50" t="n">
        <v>26</v>
      </c>
      <c r="AM4" s="50" t="n">
        <v>27</v>
      </c>
      <c r="AN4" s="50" t="n">
        <v>28</v>
      </c>
      <c r="AO4" s="50" t="n">
        <v>29</v>
      </c>
      <c r="AP4" s="50" t="n">
        <v>30</v>
      </c>
      <c r="AQ4" s="49" t="s">
        <v>210</v>
      </c>
    </row>
    <row r="5" customFormat="false" ht="15" hidden="false" customHeight="false" outlineLevel="0" collapsed="false">
      <c r="A5" s="38" t="s">
        <v>211</v>
      </c>
      <c r="B5" s="51" t="s">
        <v>212</v>
      </c>
      <c r="C5" s="51" t="s">
        <v>213</v>
      </c>
      <c r="D5" s="52" t="s">
        <v>214</v>
      </c>
      <c r="E5" s="52" t="n">
        <v>6000</v>
      </c>
      <c r="F5" s="53" t="n">
        <v>0</v>
      </c>
      <c r="G5" s="54" t="n">
        <v>0</v>
      </c>
      <c r="H5" s="52" t="s">
        <v>152</v>
      </c>
      <c r="I5" s="55" t="n">
        <v>0</v>
      </c>
      <c r="J5" s="54" t="n">
        <v>0.56</v>
      </c>
      <c r="K5" s="56" t="n">
        <v>2.88909184336062</v>
      </c>
      <c r="L5" s="56" t="n">
        <v>2.88909184336062</v>
      </c>
      <c r="M5" s="56" t="n">
        <v>2.88909184336062</v>
      </c>
      <c r="N5" s="56" t="n">
        <v>2.99869290882823</v>
      </c>
      <c r="O5" s="56" t="n">
        <v>2.99869290882823</v>
      </c>
      <c r="P5" s="56" t="n">
        <v>3.39196732021199</v>
      </c>
      <c r="Q5" s="56" t="n">
        <v>3.39196732021199</v>
      </c>
      <c r="R5" s="56" t="n">
        <v>4.3139056944395</v>
      </c>
      <c r="S5" s="56" t="n">
        <v>4.3139056944395</v>
      </c>
      <c r="T5" s="56" t="n">
        <v>4.3139056944395</v>
      </c>
      <c r="U5" s="56" t="n">
        <v>4.3139056944395</v>
      </c>
      <c r="V5" s="56" t="n">
        <v>4.3139056944395</v>
      </c>
      <c r="W5" s="56" t="n">
        <v>4.97151208724514</v>
      </c>
      <c r="X5" s="56" t="n">
        <v>4.97151208724514</v>
      </c>
      <c r="Y5" s="56" t="n">
        <v>4.97151208724514</v>
      </c>
      <c r="Z5" s="56" t="n">
        <v>4.97151208724514</v>
      </c>
      <c r="AA5" s="56" t="n">
        <v>4.97151208724514</v>
      </c>
      <c r="AB5" s="56" t="n">
        <v>5.9579216764536</v>
      </c>
      <c r="AC5" s="56" t="n">
        <v>5.9579216764536</v>
      </c>
      <c r="AD5" s="56" t="n">
        <v>5.9579216764536</v>
      </c>
      <c r="AE5" s="56" t="n">
        <v>5.9579216764536</v>
      </c>
      <c r="AF5" s="56" t="n">
        <v>5.9579216764536</v>
      </c>
      <c r="AG5" s="56" t="n">
        <v>7.27313446206488</v>
      </c>
      <c r="AH5" s="56" t="n">
        <v>7.27313446206488</v>
      </c>
      <c r="AI5" s="56" t="n">
        <v>7.27313446206488</v>
      </c>
      <c r="AJ5" s="56" t="n">
        <v>7.27313446206488</v>
      </c>
      <c r="AK5" s="56" t="n">
        <v>7.27313446206488</v>
      </c>
      <c r="AL5" s="56" t="n">
        <v>8.25954405127334</v>
      </c>
      <c r="AM5" s="56" t="n">
        <v>8.25954405127334</v>
      </c>
      <c r="AN5" s="56" t="n">
        <v>8.25954405127334</v>
      </c>
      <c r="AO5" s="56" t="n">
        <v>8.25954405127334</v>
      </c>
      <c r="AP5" s="56" t="n">
        <v>8.25954405127334</v>
      </c>
      <c r="AQ5" s="51"/>
    </row>
    <row r="6" customFormat="false" ht="15" hidden="false" customHeight="false" outlineLevel="0" collapsed="false">
      <c r="A6" s="38" t="s">
        <v>215</v>
      </c>
      <c r="B6" s="51" t="s">
        <v>212</v>
      </c>
      <c r="C6" s="51" t="s">
        <v>216</v>
      </c>
      <c r="D6" s="52" t="s">
        <v>214</v>
      </c>
      <c r="E6" s="52" t="n">
        <v>6000</v>
      </c>
      <c r="F6" s="53" t="n">
        <v>0</v>
      </c>
      <c r="G6" s="54" t="n">
        <v>0</v>
      </c>
      <c r="H6" s="52" t="s">
        <v>152</v>
      </c>
      <c r="I6" s="55" t="n">
        <v>0</v>
      </c>
      <c r="J6" s="54" t="n">
        <v>0.54</v>
      </c>
      <c r="K6" s="56" t="n">
        <v>2.97795437231252</v>
      </c>
      <c r="L6" s="56" t="n">
        <v>2.97795437231252</v>
      </c>
      <c r="M6" s="56" t="n">
        <v>2.97795437231252</v>
      </c>
      <c r="N6" s="56" t="n">
        <v>2.97795437231252</v>
      </c>
      <c r="O6" s="56" t="n">
        <v>3.23597159282983</v>
      </c>
      <c r="P6" s="56" t="n">
        <v>3.49398881334714</v>
      </c>
      <c r="Q6" s="56" t="n">
        <v>3.75200603386445</v>
      </c>
      <c r="R6" s="56" t="n">
        <v>4.01002325438176</v>
      </c>
      <c r="S6" s="56" t="n">
        <v>4.26804047489907</v>
      </c>
      <c r="T6" s="56" t="n">
        <v>4.52605769541638</v>
      </c>
      <c r="U6" s="56" t="n">
        <v>4.78407491593369</v>
      </c>
      <c r="V6" s="56" t="n">
        <v>5.042092136451</v>
      </c>
      <c r="W6" s="56" t="n">
        <v>5.30010935696831</v>
      </c>
      <c r="X6" s="56" t="n">
        <v>5.55812657748562</v>
      </c>
      <c r="Y6" s="56" t="n">
        <v>5.81614379800293</v>
      </c>
      <c r="Z6" s="56" t="n">
        <v>6.07416101852024</v>
      </c>
      <c r="AA6" s="56" t="n">
        <v>6.33217823903755</v>
      </c>
      <c r="AB6" s="56" t="n">
        <v>6.59019545955486</v>
      </c>
      <c r="AC6" s="56" t="n">
        <v>6.84821268007216</v>
      </c>
      <c r="AD6" s="56" t="n">
        <v>7.10622990058947</v>
      </c>
      <c r="AE6" s="56" t="n">
        <v>7.36424712110678</v>
      </c>
      <c r="AF6" s="56" t="n">
        <v>7.62226434162409</v>
      </c>
      <c r="AG6" s="56" t="n">
        <v>7.8802815621414</v>
      </c>
      <c r="AH6" s="56" t="n">
        <v>8.13829878265871</v>
      </c>
      <c r="AI6" s="56" t="n">
        <v>8.39631600317602</v>
      </c>
      <c r="AJ6" s="56" t="n">
        <v>8.65433322369333</v>
      </c>
      <c r="AK6" s="56" t="n">
        <v>8.91235044421064</v>
      </c>
      <c r="AL6" s="56" t="n">
        <v>9.17036766472795</v>
      </c>
      <c r="AM6" s="56" t="n">
        <v>9.42838488524526</v>
      </c>
      <c r="AN6" s="56" t="n">
        <v>9.68640210576257</v>
      </c>
      <c r="AO6" s="56" t="n">
        <v>9.94441932627988</v>
      </c>
      <c r="AP6" s="56" t="n">
        <v>10.2024365467972</v>
      </c>
      <c r="AQ6" s="51"/>
    </row>
    <row r="7" customFormat="false" ht="15" hidden="false" customHeight="false" outlineLevel="0" collapsed="false">
      <c r="A7" s="38" t="s">
        <v>21</v>
      </c>
      <c r="B7" s="51" t="s">
        <v>212</v>
      </c>
      <c r="C7" s="51" t="s">
        <v>217</v>
      </c>
      <c r="D7" s="52" t="s">
        <v>214</v>
      </c>
      <c r="E7" s="52" t="n">
        <v>5000</v>
      </c>
      <c r="F7" s="53" t="n">
        <v>0</v>
      </c>
      <c r="G7" s="54" t="n">
        <v>0</v>
      </c>
      <c r="H7" s="52" t="s">
        <v>152</v>
      </c>
      <c r="I7" s="55" t="n">
        <v>0</v>
      </c>
      <c r="J7" s="54" t="n">
        <v>0.37</v>
      </c>
      <c r="K7" s="56" t="n">
        <v>2.66734455448582</v>
      </c>
      <c r="L7" s="56" t="n">
        <v>2.66734455448582</v>
      </c>
      <c r="M7" s="56" t="n">
        <v>2.66734455448582</v>
      </c>
      <c r="N7" s="56" t="n">
        <v>2.66734455448582</v>
      </c>
      <c r="O7" s="56" t="n">
        <v>2.85082706841057</v>
      </c>
      <c r="P7" s="56" t="n">
        <v>3.03430958233531</v>
      </c>
      <c r="Q7" s="56" t="n">
        <v>3.21779209626006</v>
      </c>
      <c r="R7" s="56" t="n">
        <v>3.4012746101848</v>
      </c>
      <c r="S7" s="56" t="n">
        <v>3.58475712410955</v>
      </c>
      <c r="T7" s="56" t="n">
        <v>3.7682396380343</v>
      </c>
      <c r="U7" s="56" t="n">
        <v>3.95172215195904</v>
      </c>
      <c r="V7" s="56" t="n">
        <v>4.13520466588379</v>
      </c>
      <c r="W7" s="56" t="n">
        <v>4.31868717980853</v>
      </c>
      <c r="X7" s="56" t="n">
        <v>4.50216969373328</v>
      </c>
      <c r="Y7" s="56" t="n">
        <v>4.68565220765802</v>
      </c>
      <c r="Z7" s="56" t="n">
        <v>4.86913472158277</v>
      </c>
      <c r="AA7" s="56" t="n">
        <v>5.05261723550752</v>
      </c>
      <c r="AB7" s="56" t="n">
        <v>5.23609974943226</v>
      </c>
      <c r="AC7" s="56" t="n">
        <v>5.41958226335701</v>
      </c>
      <c r="AD7" s="56" t="n">
        <v>5.60306477728175</v>
      </c>
      <c r="AE7" s="56" t="n">
        <v>5.7865472912065</v>
      </c>
      <c r="AF7" s="56" t="n">
        <v>5.97002980513125</v>
      </c>
      <c r="AG7" s="56" t="n">
        <v>6.15351231905599</v>
      </c>
      <c r="AH7" s="56" t="n">
        <v>6.33699483298074</v>
      </c>
      <c r="AI7" s="56" t="n">
        <v>6.52047734690549</v>
      </c>
      <c r="AJ7" s="56" t="n">
        <v>6.70395986083023</v>
      </c>
      <c r="AK7" s="56" t="n">
        <v>6.88744237475498</v>
      </c>
      <c r="AL7" s="56" t="n">
        <v>7.07092488867972</v>
      </c>
      <c r="AM7" s="56" t="n">
        <v>7.25440740260447</v>
      </c>
      <c r="AN7" s="56" t="n">
        <v>7.43788991652922</v>
      </c>
      <c r="AO7" s="56" t="n">
        <v>7.62137243045396</v>
      </c>
      <c r="AP7" s="56" t="n">
        <v>7.80485494437871</v>
      </c>
      <c r="AQ7" s="51"/>
    </row>
    <row r="8" customFormat="false" ht="15" hidden="false" customHeight="false" outlineLevel="0" collapsed="false">
      <c r="A8" s="38" t="s">
        <v>218</v>
      </c>
      <c r="B8" s="51" t="s">
        <v>212</v>
      </c>
      <c r="C8" s="51" t="s">
        <v>219</v>
      </c>
      <c r="D8" s="52" t="s">
        <v>214</v>
      </c>
      <c r="E8" s="52" t="n">
        <v>5000</v>
      </c>
      <c r="F8" s="53" t="n">
        <v>0</v>
      </c>
      <c r="G8" s="54" t="n">
        <v>0</v>
      </c>
      <c r="H8" s="52" t="s">
        <v>152</v>
      </c>
      <c r="I8" s="55" t="n">
        <v>0.0097</v>
      </c>
      <c r="J8" s="54" t="n">
        <v>0</v>
      </c>
      <c r="K8" s="56" t="n">
        <v>2.41169861388771</v>
      </c>
      <c r="L8" s="56" t="n">
        <v>2.41169861388771</v>
      </c>
      <c r="M8" s="56" t="n">
        <v>2.41169861388771</v>
      </c>
      <c r="N8" s="56" t="n">
        <v>2.41169861388771</v>
      </c>
      <c r="O8" s="56" t="n">
        <v>2.59907822896272</v>
      </c>
      <c r="P8" s="56" t="n">
        <v>2.78645784403772</v>
      </c>
      <c r="Q8" s="56" t="n">
        <v>2.97383745911273</v>
      </c>
      <c r="R8" s="56" t="n">
        <v>3.16121707418773</v>
      </c>
      <c r="S8" s="56" t="n">
        <v>3.34859668926274</v>
      </c>
      <c r="T8" s="56" t="n">
        <v>3.53597630433774</v>
      </c>
      <c r="U8" s="56" t="n">
        <v>3.72335591941275</v>
      </c>
      <c r="V8" s="56" t="n">
        <v>3.91073553448775</v>
      </c>
      <c r="W8" s="56" t="n">
        <v>4.09811514956276</v>
      </c>
      <c r="X8" s="56" t="n">
        <v>4.28549476463776</v>
      </c>
      <c r="Y8" s="56" t="n">
        <v>4.47287437971277</v>
      </c>
      <c r="Z8" s="56" t="n">
        <v>4.66025399478777</v>
      </c>
      <c r="AA8" s="56" t="n">
        <v>4.84763360986278</v>
      </c>
      <c r="AB8" s="56" t="n">
        <v>5.03501322493778</v>
      </c>
      <c r="AC8" s="56" t="n">
        <v>5.22239284001279</v>
      </c>
      <c r="AD8" s="56" t="n">
        <v>5.40977245508779</v>
      </c>
      <c r="AE8" s="56" t="n">
        <v>5.5971520701628</v>
      </c>
      <c r="AF8" s="56" t="n">
        <v>5.7845316852378</v>
      </c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1"/>
    </row>
    <row r="9" customFormat="false" ht="15" hidden="false" customHeight="false" outlineLevel="0" collapsed="false">
      <c r="A9" s="38" t="s">
        <v>220</v>
      </c>
      <c r="B9" s="51" t="s">
        <v>221</v>
      </c>
      <c r="C9" s="51" t="s">
        <v>222</v>
      </c>
      <c r="D9" s="52" t="s">
        <v>214</v>
      </c>
      <c r="E9" s="52" t="n">
        <v>5000</v>
      </c>
      <c r="F9" s="53" t="n">
        <v>0</v>
      </c>
      <c r="G9" s="54" t="n">
        <v>0</v>
      </c>
      <c r="H9" s="52" t="s">
        <v>152</v>
      </c>
      <c r="I9" s="55" t="n">
        <v>0.0103</v>
      </c>
      <c r="J9" s="54" t="n">
        <v>0</v>
      </c>
      <c r="K9" s="56" t="n">
        <v>2.66734455448582</v>
      </c>
      <c r="L9" s="56" t="n">
        <v>2.66734455448582</v>
      </c>
      <c r="M9" s="56" t="n">
        <v>2.66734455448582</v>
      </c>
      <c r="N9" s="56" t="n">
        <v>2.66734455448582</v>
      </c>
      <c r="O9" s="56" t="n">
        <v>2.66734455448582</v>
      </c>
      <c r="P9" s="56" t="n">
        <v>2.89669769689175</v>
      </c>
      <c r="Q9" s="56" t="n">
        <v>3.12605083929768</v>
      </c>
      <c r="R9" s="56" t="n">
        <v>3.35540398170362</v>
      </c>
      <c r="S9" s="56" t="n">
        <v>3.58475712410955</v>
      </c>
      <c r="T9" s="56" t="n">
        <v>3.81411026651548</v>
      </c>
      <c r="U9" s="56" t="n">
        <v>4.04346340892141</v>
      </c>
      <c r="V9" s="56" t="n">
        <v>4.27281655132734</v>
      </c>
      <c r="W9" s="56" t="n">
        <v>4.50216969373328</v>
      </c>
      <c r="X9" s="56" t="n">
        <v>4.73152283613921</v>
      </c>
      <c r="Y9" s="56" t="n">
        <v>4.96087597854514</v>
      </c>
      <c r="Z9" s="56" t="n">
        <v>5.19022912095107</v>
      </c>
      <c r="AA9" s="56" t="n">
        <v>5.41958226335701</v>
      </c>
      <c r="AB9" s="56" t="n">
        <v>5.64893540576294</v>
      </c>
      <c r="AC9" s="56" t="n">
        <v>5.87828854816887</v>
      </c>
      <c r="AD9" s="56" t="n">
        <v>6.1076416905748</v>
      </c>
      <c r="AE9" s="56" t="n">
        <v>6.33699483298073</v>
      </c>
      <c r="AF9" s="56" t="n">
        <v>6.56634797538667</v>
      </c>
      <c r="AG9" s="56" t="n">
        <v>6.7957011177926</v>
      </c>
      <c r="AH9" s="56" t="n">
        <v>7.02505426019853</v>
      </c>
      <c r="AI9" s="56" t="n">
        <v>7.25440740260447</v>
      </c>
      <c r="AJ9" s="56" t="n">
        <v>7.4837605450104</v>
      </c>
      <c r="AK9" s="56" t="n">
        <v>7.71311368741633</v>
      </c>
      <c r="AL9" s="56" t="n">
        <v>7.94246682982227</v>
      </c>
      <c r="AM9" s="56" t="n">
        <v>8.1718199722282</v>
      </c>
      <c r="AN9" s="56" t="n">
        <v>8.40117311463413</v>
      </c>
      <c r="AO9" s="56" t="n">
        <v>8.63052625704006</v>
      </c>
      <c r="AP9" s="56" t="n">
        <v>8.859879399446</v>
      </c>
      <c r="AQ9" s="51"/>
    </row>
    <row r="10" customFormat="false" ht="15" hidden="false" customHeight="false" outlineLevel="0" collapsed="false">
      <c r="A10" s="38" t="s">
        <v>223</v>
      </c>
      <c r="B10" s="51" t="s">
        <v>221</v>
      </c>
      <c r="C10" s="51" t="s">
        <v>219</v>
      </c>
      <c r="D10" s="52" t="s">
        <v>214</v>
      </c>
      <c r="E10" s="52" t="n">
        <v>5000</v>
      </c>
      <c r="F10" s="53" t="n">
        <v>0</v>
      </c>
      <c r="G10" s="54" t="n">
        <v>0</v>
      </c>
      <c r="H10" s="52" t="s">
        <v>152</v>
      </c>
      <c r="I10" s="55" t="n">
        <v>0.0103</v>
      </c>
      <c r="J10" s="54" t="n">
        <v>0</v>
      </c>
      <c r="K10" s="56" t="n">
        <v>2.1560526732896</v>
      </c>
      <c r="L10" s="56" t="n">
        <v>2.1560526732896</v>
      </c>
      <c r="M10" s="56" t="n">
        <v>2.1560526732896</v>
      </c>
      <c r="N10" s="56" t="n">
        <v>2.1560526732896</v>
      </c>
      <c r="O10" s="56" t="n">
        <v>2.1560526732896</v>
      </c>
      <c r="P10" s="56" t="n">
        <v>2.39659786672865</v>
      </c>
      <c r="Q10" s="56" t="n">
        <v>2.6371430601677</v>
      </c>
      <c r="R10" s="56" t="n">
        <v>2.87768825360675</v>
      </c>
      <c r="S10" s="56" t="n">
        <v>3.11823344704579</v>
      </c>
      <c r="T10" s="56" t="n">
        <v>3.35877864048484</v>
      </c>
      <c r="U10" s="56" t="n">
        <v>3.59932383392389</v>
      </c>
      <c r="V10" s="56" t="n">
        <v>3.83986902736294</v>
      </c>
      <c r="W10" s="56" t="n">
        <v>4.08041422080199</v>
      </c>
      <c r="X10" s="56" t="n">
        <v>4.32095941424104</v>
      </c>
      <c r="Y10" s="56" t="n">
        <v>4.56150460768008</v>
      </c>
      <c r="Z10" s="56" t="n">
        <v>4.80204980111913</v>
      </c>
      <c r="AA10" s="56" t="n">
        <v>5.04259499455818</v>
      </c>
      <c r="AB10" s="56" t="n">
        <v>5.28314018799723</v>
      </c>
      <c r="AC10" s="56" t="n">
        <v>5.52368538143628</v>
      </c>
      <c r="AD10" s="56" t="n">
        <v>5.76423057487533</v>
      </c>
      <c r="AE10" s="56" t="n">
        <v>6.00477576831437</v>
      </c>
      <c r="AF10" s="56" t="n">
        <v>6.24532096175342</v>
      </c>
      <c r="AG10" s="56" t="n">
        <v>6.48586615519247</v>
      </c>
      <c r="AH10" s="56" t="n">
        <v>6.72641134863152</v>
      </c>
      <c r="AI10" s="56" t="n">
        <v>6.96695654207057</v>
      </c>
      <c r="AJ10" s="56" t="n">
        <v>7.20750173550962</v>
      </c>
      <c r="AK10" s="56" t="n">
        <v>7.44804692894867</v>
      </c>
      <c r="AL10" s="56" t="n">
        <v>7.68859212238772</v>
      </c>
      <c r="AM10" s="56" t="n">
        <v>7.92913731582677</v>
      </c>
      <c r="AN10" s="56" t="n">
        <v>8.16968250926581</v>
      </c>
      <c r="AO10" s="56" t="n">
        <v>8.41022770270486</v>
      </c>
      <c r="AP10" s="56" t="n">
        <v>8.65077289614391</v>
      </c>
      <c r="AQ10" s="51"/>
    </row>
    <row r="11" customFormat="false" ht="15" hidden="false" customHeight="false" outlineLevel="0" collapsed="false">
      <c r="A11" s="38" t="s">
        <v>22</v>
      </c>
      <c r="B11" s="51" t="s">
        <v>221</v>
      </c>
      <c r="C11" s="51" t="s">
        <v>224</v>
      </c>
      <c r="D11" s="52" t="s">
        <v>214</v>
      </c>
      <c r="E11" s="52" t="n">
        <v>5000</v>
      </c>
      <c r="F11" s="53" t="n">
        <v>0.01</v>
      </c>
      <c r="G11" s="54" t="n">
        <v>0.1</v>
      </c>
      <c r="H11" s="52" t="s">
        <v>152</v>
      </c>
      <c r="I11" s="55" t="n">
        <v>0.0093</v>
      </c>
      <c r="J11" s="54" t="n">
        <v>0</v>
      </c>
      <c r="K11" s="56" t="n">
        <v>3.1461480973977</v>
      </c>
      <c r="L11" s="56" t="n">
        <v>3.1461480973977</v>
      </c>
      <c r="M11" s="56" t="n">
        <v>3.1461480973977</v>
      </c>
      <c r="N11" s="56" t="n">
        <v>3.79294666005467</v>
      </c>
      <c r="O11" s="56" t="n">
        <v>4.70105048106018</v>
      </c>
      <c r="P11" s="56" t="n">
        <v>4.70105048106018</v>
      </c>
      <c r="Q11" s="56" t="n">
        <v>4.70105048106018</v>
      </c>
      <c r="R11" s="56" t="n">
        <v>6.78604868829951</v>
      </c>
      <c r="S11" s="56" t="n">
        <v>6.78604868829951</v>
      </c>
      <c r="T11" s="56" t="n">
        <v>6.78604868829951</v>
      </c>
      <c r="U11" s="56" t="n">
        <v>6.78604868829951</v>
      </c>
      <c r="V11" s="56" t="n">
        <v>6.78604868829951</v>
      </c>
      <c r="W11" s="56" t="n">
        <v>8.98366673995727</v>
      </c>
      <c r="X11" s="56" t="n">
        <v>8.98366673995727</v>
      </c>
      <c r="Y11" s="56" t="n">
        <v>8.98366673995727</v>
      </c>
      <c r="Z11" s="56" t="n">
        <v>8.98366673995727</v>
      </c>
      <c r="AA11" s="56" t="n">
        <v>8.98366673995727</v>
      </c>
      <c r="AB11" s="56" t="n">
        <v>10.4191444547652</v>
      </c>
      <c r="AC11" s="56" t="n">
        <v>10.4191444547652</v>
      </c>
      <c r="AD11" s="56" t="n">
        <v>10.4191444547652</v>
      </c>
      <c r="AE11" s="56" t="n">
        <v>10.4191444547652</v>
      </c>
      <c r="AF11" s="56" t="n">
        <v>10.4191444547652</v>
      </c>
      <c r="AG11" s="56" t="n">
        <v>10.6865740551062</v>
      </c>
      <c r="AH11" s="56" t="n">
        <v>10.9540036554473</v>
      </c>
      <c r="AI11" s="56" t="n">
        <v>11.2214332557884</v>
      </c>
      <c r="AJ11" s="56" t="n">
        <v>11.4888628561295</v>
      </c>
      <c r="AK11" s="56" t="n">
        <v>11.7562924564705</v>
      </c>
      <c r="AL11" s="56" t="n">
        <v>12.0237220568116</v>
      </c>
      <c r="AM11" s="56" t="n">
        <v>12.2911516571527</v>
      </c>
      <c r="AN11" s="56" t="n">
        <v>12.5585812574938</v>
      </c>
      <c r="AO11" s="56" t="n">
        <v>12.8260108578348</v>
      </c>
      <c r="AP11" s="56" t="n">
        <v>13.0934404581759</v>
      </c>
      <c r="AQ11" s="51" t="s">
        <v>225</v>
      </c>
    </row>
    <row r="12" customFormat="false" ht="15" hidden="false" customHeight="false" outlineLevel="0" collapsed="false">
      <c r="A12" s="38" t="s">
        <v>226</v>
      </c>
      <c r="B12" s="51" t="s">
        <v>221</v>
      </c>
      <c r="C12" s="51" t="s">
        <v>227</v>
      </c>
      <c r="D12" s="52" t="s">
        <v>214</v>
      </c>
      <c r="E12" s="52" t="n">
        <v>5000</v>
      </c>
      <c r="F12" s="53" t="n">
        <v>0.01</v>
      </c>
      <c r="G12" s="54" t="n">
        <v>0.1</v>
      </c>
      <c r="H12" s="52" t="s">
        <v>152</v>
      </c>
      <c r="I12" s="55" t="n">
        <v>0.0093</v>
      </c>
      <c r="J12" s="54" t="n">
        <v>0</v>
      </c>
      <c r="K12" s="56" t="n">
        <v>2.51928294722275</v>
      </c>
      <c r="L12" s="56" t="n">
        <v>2.51928294722275</v>
      </c>
      <c r="M12" s="56" t="n">
        <v>2.51928294722275</v>
      </c>
      <c r="N12" s="56" t="n">
        <v>2.73552078413508</v>
      </c>
      <c r="O12" s="56" t="n">
        <v>2.94821373847507</v>
      </c>
      <c r="P12" s="56" t="n">
        <v>2.94821373847507</v>
      </c>
      <c r="Q12" s="56" t="n">
        <v>2.94821373847507</v>
      </c>
      <c r="R12" s="56" t="n">
        <v>4.48314789229538</v>
      </c>
      <c r="S12" s="56" t="n">
        <v>4.48314789229538</v>
      </c>
      <c r="T12" s="56" t="n">
        <v>4.48314789229538</v>
      </c>
      <c r="U12" s="56" t="n">
        <v>4.48314789229538</v>
      </c>
      <c r="V12" s="56" t="n">
        <v>4.48314789229538</v>
      </c>
      <c r="W12" s="56" t="n">
        <v>5.00070074785604</v>
      </c>
      <c r="X12" s="56" t="n">
        <v>5.00070074785604</v>
      </c>
      <c r="Y12" s="56" t="n">
        <v>5.00070074785604</v>
      </c>
      <c r="Z12" s="56" t="n">
        <v>5.00070074785604</v>
      </c>
      <c r="AA12" s="56" t="n">
        <v>5.00070074785604</v>
      </c>
      <c r="AB12" s="56" t="n">
        <v>6.02871669383269</v>
      </c>
      <c r="AC12" s="56" t="n">
        <v>6.02871669383269</v>
      </c>
      <c r="AD12" s="56" t="n">
        <v>6.02871669383269</v>
      </c>
      <c r="AE12" s="56" t="n">
        <v>6.02871669383269</v>
      </c>
      <c r="AF12" s="56" t="n">
        <v>6.02871669383269</v>
      </c>
      <c r="AG12" s="56" t="n">
        <v>6.25558917846202</v>
      </c>
      <c r="AH12" s="56" t="n">
        <v>6.48246166309135</v>
      </c>
      <c r="AI12" s="56" t="n">
        <v>6.70933414772068</v>
      </c>
      <c r="AJ12" s="56" t="n">
        <v>6.93620663235001</v>
      </c>
      <c r="AK12" s="56" t="n">
        <v>7.16307911697934</v>
      </c>
      <c r="AL12" s="56" t="n">
        <v>7.38995160160867</v>
      </c>
      <c r="AM12" s="56" t="n">
        <v>7.616824086238</v>
      </c>
      <c r="AN12" s="56" t="n">
        <v>7.84369657086733</v>
      </c>
      <c r="AO12" s="56" t="n">
        <v>8.07056905549666</v>
      </c>
      <c r="AP12" s="56" t="n">
        <v>8.29744154012599</v>
      </c>
      <c r="AQ12" s="51" t="s">
        <v>225</v>
      </c>
    </row>
    <row r="13" customFormat="false" ht="15" hidden="false" customHeight="false" outlineLevel="0" collapsed="false">
      <c r="A13" s="38" t="s">
        <v>228</v>
      </c>
      <c r="B13" s="51" t="s">
        <v>229</v>
      </c>
      <c r="C13" s="51" t="s">
        <v>230</v>
      </c>
      <c r="D13" s="52" t="s">
        <v>231</v>
      </c>
      <c r="E13" s="52" t="n">
        <v>5000</v>
      </c>
      <c r="F13" s="53" t="n">
        <v>0</v>
      </c>
      <c r="G13" s="54" t="n">
        <v>0</v>
      </c>
      <c r="H13" s="52" t="s">
        <v>152</v>
      </c>
      <c r="I13" s="55" t="n">
        <v>0</v>
      </c>
      <c r="J13" s="54" t="n">
        <v>1.41</v>
      </c>
      <c r="K13" s="56" t="n">
        <v>4.1875</v>
      </c>
      <c r="L13" s="56" t="n">
        <v>4.1875</v>
      </c>
      <c r="M13" s="56" t="n">
        <v>4.1875</v>
      </c>
      <c r="N13" s="56" t="n">
        <v>4.60625</v>
      </c>
      <c r="O13" s="56" t="n">
        <v>6.05791666666667</v>
      </c>
      <c r="P13" s="56" t="n">
        <v>7.50958333333333</v>
      </c>
      <c r="Q13" s="56" t="n">
        <v>8.96125</v>
      </c>
      <c r="R13" s="56" t="n">
        <v>10.4129166666667</v>
      </c>
      <c r="S13" s="56" t="n">
        <v>11.8645833333333</v>
      </c>
      <c r="T13" s="56" t="n">
        <v>13.31625</v>
      </c>
      <c r="U13" s="56" t="n">
        <v>14.7679166666667</v>
      </c>
      <c r="V13" s="56" t="n">
        <v>16.2195833333333</v>
      </c>
      <c r="W13" s="56" t="n">
        <v>17.67125</v>
      </c>
      <c r="X13" s="56" t="n">
        <v>19.1229166666667</v>
      </c>
      <c r="Y13" s="56" t="n">
        <v>20.5745833333333</v>
      </c>
      <c r="Z13" s="56" t="n">
        <v>22.02625</v>
      </c>
      <c r="AA13" s="56" t="n">
        <v>23.4779166666667</v>
      </c>
      <c r="AB13" s="56" t="n">
        <v>24.9295833333333</v>
      </c>
      <c r="AC13" s="56" t="n">
        <v>26.38125</v>
      </c>
      <c r="AD13" s="56" t="n">
        <v>27.8329166666667</v>
      </c>
      <c r="AE13" s="56" t="n">
        <v>29.2845833333333</v>
      </c>
      <c r="AF13" s="56" t="n">
        <v>30.73625</v>
      </c>
      <c r="AG13" s="56" t="n">
        <v>36.0404166666667</v>
      </c>
      <c r="AH13" s="56" t="n">
        <v>37.4920833333333</v>
      </c>
      <c r="AI13" s="56" t="n">
        <v>38.94375</v>
      </c>
      <c r="AJ13" s="56" t="n">
        <v>40.3954166666667</v>
      </c>
      <c r="AK13" s="56" t="n">
        <v>41.8470833333333</v>
      </c>
      <c r="AL13" s="56" t="n">
        <v>43.29875</v>
      </c>
      <c r="AM13" s="56" t="n">
        <v>44.7504166666667</v>
      </c>
      <c r="AN13" s="56" t="n">
        <v>46.2020833333333</v>
      </c>
      <c r="AO13" s="56" t="n">
        <v>47.65375</v>
      </c>
      <c r="AP13" s="56" t="n">
        <v>49.1054166666666</v>
      </c>
      <c r="AQ13" s="51"/>
    </row>
    <row r="14" customFormat="false" ht="15" hidden="false" customHeight="false" outlineLevel="0" collapsed="false">
      <c r="A14" s="38" t="s">
        <v>232</v>
      </c>
      <c r="B14" s="51" t="s">
        <v>229</v>
      </c>
      <c r="C14" s="51" t="s">
        <v>233</v>
      </c>
      <c r="D14" s="52" t="s">
        <v>231</v>
      </c>
      <c r="E14" s="52" t="n">
        <v>5000</v>
      </c>
      <c r="F14" s="53" t="n">
        <v>0</v>
      </c>
      <c r="G14" s="54" t="n">
        <v>0</v>
      </c>
      <c r="H14" s="52" t="s">
        <v>152</v>
      </c>
      <c r="I14" s="55" t="n">
        <v>0</v>
      </c>
      <c r="J14" s="54" t="n">
        <v>0.86</v>
      </c>
      <c r="K14" s="56" t="n">
        <v>3.05</v>
      </c>
      <c r="L14" s="56" t="n">
        <v>3.05</v>
      </c>
      <c r="M14" s="56" t="n">
        <v>3.05</v>
      </c>
      <c r="N14" s="56" t="n">
        <v>3.9255980861244</v>
      </c>
      <c r="O14" s="56" t="n">
        <v>4.80119617224881</v>
      </c>
      <c r="P14" s="56" t="n">
        <v>5.67679425837321</v>
      </c>
      <c r="Q14" s="56" t="n">
        <v>6.55239234449761</v>
      </c>
      <c r="R14" s="56" t="n">
        <v>7.42799043062201</v>
      </c>
      <c r="S14" s="56" t="n">
        <v>8.30358851674641</v>
      </c>
      <c r="T14" s="56" t="n">
        <v>9.17918660287081</v>
      </c>
      <c r="U14" s="56" t="n">
        <v>10.0547846889952</v>
      </c>
      <c r="V14" s="56" t="n">
        <v>10.9303827751196</v>
      </c>
      <c r="W14" s="56" t="n">
        <v>11.805980861244</v>
      </c>
      <c r="X14" s="56" t="n">
        <v>12.6815789473684</v>
      </c>
      <c r="Y14" s="56" t="n">
        <v>13.5571770334928</v>
      </c>
      <c r="Z14" s="56" t="n">
        <v>14.4327751196172</v>
      </c>
      <c r="AA14" s="56" t="n">
        <v>15.3083732057416</v>
      </c>
      <c r="AB14" s="56" t="n">
        <v>16.183971291866</v>
      </c>
      <c r="AC14" s="56" t="n">
        <v>17.0595693779904</v>
      </c>
      <c r="AD14" s="56" t="n">
        <v>17.9351674641148</v>
      </c>
      <c r="AE14" s="56" t="n">
        <v>18.8107655502392</v>
      </c>
      <c r="AF14" s="56" t="n">
        <v>19.6863636363636</v>
      </c>
      <c r="AG14" s="56" t="n">
        <v>20.561961722488</v>
      </c>
      <c r="AH14" s="56" t="n">
        <v>21.4375598086124</v>
      </c>
      <c r="AI14" s="56" t="n">
        <v>22.3131578947368</v>
      </c>
      <c r="AJ14" s="56" t="n">
        <v>23.1887559808613</v>
      </c>
      <c r="AK14" s="56" t="n">
        <v>24.0643540669857</v>
      </c>
      <c r="AL14" s="56" t="n">
        <v>24.9399521531101</v>
      </c>
      <c r="AM14" s="56" t="n">
        <v>25.8155502392345</v>
      </c>
      <c r="AN14" s="56" t="n">
        <v>26.6911483253589</v>
      </c>
      <c r="AO14" s="56" t="n">
        <v>27.5667464114833</v>
      </c>
      <c r="AP14" s="56" t="n">
        <v>28.4423444976077</v>
      </c>
      <c r="AQ14" s="51"/>
    </row>
    <row r="15" customFormat="false" ht="15" hidden="false" customHeight="false" outlineLevel="0" collapsed="false">
      <c r="A15" s="38" t="s">
        <v>234</v>
      </c>
      <c r="B15" s="51" t="s">
        <v>229</v>
      </c>
      <c r="C15" s="51" t="s">
        <v>235</v>
      </c>
      <c r="D15" s="52" t="s">
        <v>231</v>
      </c>
      <c r="E15" s="52" t="n">
        <v>5000</v>
      </c>
      <c r="F15" s="53" t="n">
        <v>0</v>
      </c>
      <c r="G15" s="54" t="n">
        <v>0</v>
      </c>
      <c r="H15" s="52" t="s">
        <v>152</v>
      </c>
      <c r="I15" s="55" t="n">
        <v>0</v>
      </c>
      <c r="J15" s="54" t="n">
        <v>0.86</v>
      </c>
      <c r="K15" s="56" t="n">
        <v>3.1625</v>
      </c>
      <c r="L15" s="56" t="n">
        <v>3.1625</v>
      </c>
      <c r="M15" s="56" t="n">
        <v>3.1625</v>
      </c>
      <c r="N15" s="56" t="n">
        <v>3.59770642201835</v>
      </c>
      <c r="O15" s="56" t="n">
        <v>4.84529816513761</v>
      </c>
      <c r="P15" s="56" t="n">
        <v>6.09288990825688</v>
      </c>
      <c r="Q15" s="56" t="n">
        <v>7.34048165137615</v>
      </c>
      <c r="R15" s="56" t="n">
        <v>8.58807339449541</v>
      </c>
      <c r="S15" s="56" t="n">
        <v>9.83566513761468</v>
      </c>
      <c r="T15" s="56" t="n">
        <v>11.0832568807339</v>
      </c>
      <c r="U15" s="56" t="n">
        <v>12.3308486238532</v>
      </c>
      <c r="V15" s="56" t="n">
        <v>13.5784403669725</v>
      </c>
      <c r="W15" s="56" t="n">
        <v>14.8260321100918</v>
      </c>
      <c r="X15" s="56" t="n">
        <v>16.073623853211</v>
      </c>
      <c r="Y15" s="56" t="n">
        <v>17.3212155963303</v>
      </c>
      <c r="Z15" s="56" t="n">
        <v>18.5688073394495</v>
      </c>
      <c r="AA15" s="56" t="n">
        <v>19.8163990825688</v>
      </c>
      <c r="AB15" s="56" t="n">
        <v>21.0639908256881</v>
      </c>
      <c r="AC15" s="56" t="n">
        <v>22.3115825688073</v>
      </c>
      <c r="AD15" s="56" t="n">
        <v>23.5591743119266</v>
      </c>
      <c r="AE15" s="56" t="n">
        <v>24.8067660550459</v>
      </c>
      <c r="AF15" s="56" t="n">
        <v>26.0543577981651</v>
      </c>
      <c r="AG15" s="56" t="n">
        <v>27.3019495412844</v>
      </c>
      <c r="AH15" s="56" t="n">
        <v>28.5495412844037</v>
      </c>
      <c r="AI15" s="56" t="n">
        <v>29.7971330275229</v>
      </c>
      <c r="AJ15" s="56" t="n">
        <v>31.0447247706422</v>
      </c>
      <c r="AK15" s="56" t="n">
        <v>32.2923165137615</v>
      </c>
      <c r="AL15" s="56" t="n">
        <v>33.5399082568807</v>
      </c>
      <c r="AM15" s="56" t="n">
        <v>34.7875</v>
      </c>
      <c r="AN15" s="56" t="n">
        <v>36.0350917431193</v>
      </c>
      <c r="AO15" s="56" t="n">
        <v>37.2826834862385</v>
      </c>
      <c r="AP15" s="56" t="n">
        <v>38.5302752293578</v>
      </c>
      <c r="AQ15" s="51"/>
    </row>
    <row r="16" customFormat="false" ht="15" hidden="false" customHeight="false" outlineLevel="0" collapsed="false">
      <c r="A16" s="38" t="s">
        <v>236</v>
      </c>
      <c r="B16" s="51" t="s">
        <v>237</v>
      </c>
      <c r="C16" s="51" t="s">
        <v>233</v>
      </c>
      <c r="D16" s="52" t="s">
        <v>238</v>
      </c>
      <c r="E16" s="52" t="n">
        <v>5000</v>
      </c>
      <c r="F16" s="53" t="n">
        <v>0</v>
      </c>
      <c r="G16" s="54" t="n">
        <v>0</v>
      </c>
      <c r="H16" s="52" t="s">
        <v>152</v>
      </c>
      <c r="I16" s="55" t="n">
        <v>0</v>
      </c>
      <c r="J16" s="54" t="n">
        <v>0.86</v>
      </c>
      <c r="K16" s="56" t="n">
        <v>7.325</v>
      </c>
      <c r="L16" s="56" t="n">
        <v>7.325</v>
      </c>
      <c r="M16" s="56" t="n">
        <v>7.325</v>
      </c>
      <c r="N16" s="56" t="n">
        <v>7.72382032667877</v>
      </c>
      <c r="O16" s="56" t="n">
        <v>8.12264065335753</v>
      </c>
      <c r="P16" s="56" t="n">
        <v>8.5214609800363</v>
      </c>
      <c r="Q16" s="56" t="n">
        <v>8.92028130671506</v>
      </c>
      <c r="R16" s="56" t="n">
        <v>9.31910163339383</v>
      </c>
      <c r="S16" s="56" t="n">
        <v>9.7179219600726</v>
      </c>
      <c r="T16" s="56" t="n">
        <v>10.1167422867514</v>
      </c>
      <c r="U16" s="56" t="n">
        <v>10.5155626134301</v>
      </c>
      <c r="V16" s="56" t="n">
        <v>10.9143829401089</v>
      </c>
      <c r="W16" s="56" t="n">
        <v>12.0310798548094</v>
      </c>
      <c r="X16" s="56" t="n">
        <v>13.14777676951</v>
      </c>
      <c r="Y16" s="56" t="n">
        <v>14.2644736842105</v>
      </c>
      <c r="Z16" s="56" t="n">
        <v>15.3811705989111</v>
      </c>
      <c r="AA16" s="56" t="n">
        <v>16.4978675136116</v>
      </c>
      <c r="AB16" s="56" t="n">
        <v>17.6145644283122</v>
      </c>
      <c r="AC16" s="56" t="n">
        <v>18.7312613430127</v>
      </c>
      <c r="AD16" s="56" t="n">
        <v>19.8479582577132</v>
      </c>
      <c r="AE16" s="56" t="n">
        <v>20.9646551724138</v>
      </c>
      <c r="AF16" s="56" t="n">
        <v>22.0813520871143</v>
      </c>
      <c r="AG16" s="56" t="n">
        <v>23.1980490018149</v>
      </c>
      <c r="AH16" s="56" t="n">
        <v>24.3147459165154</v>
      </c>
      <c r="AI16" s="56" t="n">
        <v>25.431442831216</v>
      </c>
      <c r="AJ16" s="56" t="n">
        <v>26.5481397459165</v>
      </c>
      <c r="AK16" s="56" t="n">
        <v>27.6648366606171</v>
      </c>
      <c r="AL16" s="56" t="n">
        <v>28.7815335753176</v>
      </c>
      <c r="AM16" s="56" t="n">
        <v>29.8982304900182</v>
      </c>
      <c r="AN16" s="56" t="n">
        <v>31.0149274047187</v>
      </c>
      <c r="AO16" s="56" t="n">
        <v>32.1316243194192</v>
      </c>
      <c r="AP16" s="56" t="n">
        <v>33.2483212341198</v>
      </c>
      <c r="AQ16" s="51"/>
    </row>
    <row r="17" customFormat="false" ht="15" hidden="false" customHeight="false" outlineLevel="0" collapsed="false">
      <c r="A17" s="38" t="s">
        <v>239</v>
      </c>
      <c r="B17" s="51" t="s">
        <v>240</v>
      </c>
      <c r="C17" s="51" t="s">
        <v>241</v>
      </c>
      <c r="D17" s="52" t="s">
        <v>242</v>
      </c>
      <c r="E17" s="52" t="n">
        <v>5000</v>
      </c>
      <c r="F17" s="53" t="n">
        <v>0</v>
      </c>
      <c r="G17" s="54" t="n">
        <v>0.1</v>
      </c>
      <c r="H17" s="52" t="s">
        <v>152</v>
      </c>
      <c r="I17" s="55" t="n">
        <v>0</v>
      </c>
      <c r="J17" s="54" t="n">
        <v>0.74</v>
      </c>
      <c r="K17" s="56" t="n">
        <v>4.5</v>
      </c>
      <c r="L17" s="56" t="n">
        <v>4.5</v>
      </c>
      <c r="M17" s="56" t="n">
        <v>4.5</v>
      </c>
      <c r="N17" s="56" t="n">
        <v>5.34461538461538</v>
      </c>
      <c r="O17" s="56" t="n">
        <v>6.41076923076923</v>
      </c>
      <c r="P17" s="56" t="n">
        <v>7.65692307692308</v>
      </c>
      <c r="Q17" s="56" t="n">
        <v>8.50153846153846</v>
      </c>
      <c r="R17" s="56" t="n">
        <v>9.70615384615385</v>
      </c>
      <c r="S17" s="56" t="n">
        <v>10.5507692307692</v>
      </c>
      <c r="T17" s="56" t="n">
        <v>11.3953846153846</v>
      </c>
      <c r="U17" s="56" t="n">
        <v>12.24</v>
      </c>
      <c r="V17" s="56" t="n">
        <v>13.0846153846154</v>
      </c>
      <c r="W17" s="56" t="n">
        <v>14.3307692307692</v>
      </c>
      <c r="X17" s="56" t="n">
        <v>15.1753846153846</v>
      </c>
      <c r="Y17" s="56" t="n">
        <v>16.02</v>
      </c>
      <c r="Z17" s="56" t="n">
        <v>16.8646153846154</v>
      </c>
      <c r="AA17" s="56" t="n">
        <v>17.7092307692308</v>
      </c>
      <c r="AB17" s="56" t="n">
        <v>19.1076923076923</v>
      </c>
      <c r="AC17" s="56" t="n">
        <v>19.9523076923077</v>
      </c>
      <c r="AD17" s="56" t="n">
        <v>20.7969230769231</v>
      </c>
      <c r="AE17" s="56" t="n">
        <v>21.6415384615385</v>
      </c>
      <c r="AF17" s="56" t="n">
        <v>22.4861538461539</v>
      </c>
      <c r="AG17" s="56" t="n">
        <v>23.8015384615385</v>
      </c>
      <c r="AH17" s="56" t="n">
        <v>24.6461538461539</v>
      </c>
      <c r="AI17" s="56" t="n">
        <v>25.4907692307692</v>
      </c>
      <c r="AJ17" s="56" t="n">
        <v>26.3353846153846</v>
      </c>
      <c r="AK17" s="56" t="n">
        <v>27.18</v>
      </c>
      <c r="AL17" s="56" t="n">
        <v>29.3815384615385</v>
      </c>
      <c r="AM17" s="56" t="n">
        <v>30.2261538461539</v>
      </c>
      <c r="AN17" s="56" t="n">
        <v>31.0707692307692</v>
      </c>
      <c r="AO17" s="56" t="n">
        <v>31.9153846153846</v>
      </c>
      <c r="AP17" s="56" t="n">
        <v>32.76</v>
      </c>
      <c r="AQ17" s="51" t="s">
        <v>243</v>
      </c>
    </row>
    <row r="18" customFormat="false" ht="15" hidden="false" customHeight="false" outlineLevel="0" collapsed="false">
      <c r="A18" s="38" t="s">
        <v>244</v>
      </c>
      <c r="B18" s="51" t="s">
        <v>240</v>
      </c>
      <c r="C18" s="51" t="s">
        <v>245</v>
      </c>
      <c r="D18" s="52" t="s">
        <v>242</v>
      </c>
      <c r="E18" s="52" t="n">
        <v>5000</v>
      </c>
      <c r="F18" s="53" t="n">
        <v>0</v>
      </c>
      <c r="G18" s="54" t="n">
        <v>0.1</v>
      </c>
      <c r="H18" s="52" t="s">
        <v>152</v>
      </c>
      <c r="I18" s="55" t="n">
        <v>0</v>
      </c>
      <c r="J18" s="54" t="n">
        <v>0.95</v>
      </c>
      <c r="K18" s="56" t="n">
        <v>4.6375</v>
      </c>
      <c r="L18" s="56" t="n">
        <v>4.6375</v>
      </c>
      <c r="M18" s="56" t="n">
        <v>4.6375</v>
      </c>
      <c r="N18" s="56" t="n">
        <v>5.45182291666667</v>
      </c>
      <c r="O18" s="56" t="n">
        <v>6.26614583333333</v>
      </c>
      <c r="P18" s="56" t="n">
        <v>7.08046875</v>
      </c>
      <c r="Q18" s="56" t="n">
        <v>7.89479166666667</v>
      </c>
      <c r="R18" s="56" t="n">
        <v>10.5171875</v>
      </c>
      <c r="S18" s="56" t="n">
        <v>11.3315104166667</v>
      </c>
      <c r="T18" s="56" t="n">
        <v>12.1458333333333</v>
      </c>
      <c r="U18" s="56" t="n">
        <v>12.96015625</v>
      </c>
      <c r="V18" s="56" t="n">
        <v>13.7744791666667</v>
      </c>
      <c r="W18" s="56" t="n">
        <v>14.5888020833333</v>
      </c>
      <c r="X18" s="56" t="n">
        <v>15.403125</v>
      </c>
      <c r="Y18" s="56" t="n">
        <v>16.2174479166667</v>
      </c>
      <c r="Z18" s="56" t="n">
        <v>17.0317708333333</v>
      </c>
      <c r="AA18" s="56" t="n">
        <v>17.84609375</v>
      </c>
      <c r="AB18" s="56" t="n">
        <v>18.6604166666667</v>
      </c>
      <c r="AC18" s="56" t="n">
        <v>19.4747395833333</v>
      </c>
      <c r="AD18" s="56" t="n">
        <v>20.2890625</v>
      </c>
      <c r="AE18" s="56" t="n">
        <v>21.1033854166667</v>
      </c>
      <c r="AF18" s="56" t="n">
        <v>21.9177083333333</v>
      </c>
      <c r="AG18" s="56" t="n">
        <v>22.73203125</v>
      </c>
      <c r="AH18" s="56" t="n">
        <v>23.5463541666667</v>
      </c>
      <c r="AI18" s="56" t="n">
        <v>24.3606770833333</v>
      </c>
      <c r="AJ18" s="56" t="n">
        <v>25.175</v>
      </c>
      <c r="AK18" s="56" t="n">
        <v>25.9893229166667</v>
      </c>
      <c r="AL18" s="56" t="n">
        <v>26.8036458333333</v>
      </c>
      <c r="AM18" s="56" t="n">
        <v>27.61796875</v>
      </c>
      <c r="AN18" s="56" t="n">
        <v>28.4322916666667</v>
      </c>
      <c r="AO18" s="56" t="n">
        <v>29.2466145833333</v>
      </c>
      <c r="AP18" s="56" t="n">
        <v>30.0609375</v>
      </c>
      <c r="AQ18" s="51"/>
    </row>
    <row r="19" customFormat="false" ht="15" hidden="false" customHeight="false" outlineLevel="0" collapsed="false">
      <c r="A19" s="38" t="s">
        <v>246</v>
      </c>
      <c r="B19" s="51" t="s">
        <v>240</v>
      </c>
      <c r="C19" s="51" t="s">
        <v>247</v>
      </c>
      <c r="D19" s="52" t="s">
        <v>242</v>
      </c>
      <c r="E19" s="52" t="n">
        <v>5000</v>
      </c>
      <c r="F19" s="53" t="n">
        <v>0</v>
      </c>
      <c r="G19" s="54" t="n">
        <v>0</v>
      </c>
      <c r="H19" s="52" t="s">
        <v>152</v>
      </c>
      <c r="I19" s="55" t="n">
        <v>0</v>
      </c>
      <c r="J19" s="54" t="n">
        <v>0.98375</v>
      </c>
      <c r="K19" s="56" t="n">
        <v>3.9734375</v>
      </c>
      <c r="L19" s="56" t="n">
        <v>3.9734375</v>
      </c>
      <c r="M19" s="56" t="n">
        <v>3.9734375</v>
      </c>
      <c r="N19" s="56" t="n">
        <v>4.80218805236412</v>
      </c>
      <c r="O19" s="56" t="n">
        <v>5.7468232158639</v>
      </c>
      <c r="P19" s="56" t="n">
        <v>6.73008658307556</v>
      </c>
      <c r="Q19" s="56" t="n">
        <v>7.55883713543969</v>
      </c>
      <c r="R19" s="56" t="n">
        <v>8.54210050265135</v>
      </c>
      <c r="S19" s="56" t="n">
        <v>9.37085105501547</v>
      </c>
      <c r="T19" s="56" t="n">
        <v>10.1996016073796</v>
      </c>
      <c r="U19" s="56" t="n">
        <v>11.0283521597437</v>
      </c>
      <c r="V19" s="56" t="n">
        <v>11.8571027121078</v>
      </c>
      <c r="W19" s="56" t="n">
        <v>13.1107635053027</v>
      </c>
      <c r="X19" s="56" t="n">
        <v>13.9395140576668</v>
      </c>
      <c r="Y19" s="56" t="n">
        <v>14.7682646100309</v>
      </c>
      <c r="Z19" s="56" t="n">
        <v>15.5970151623951</v>
      </c>
      <c r="AA19" s="56" t="n">
        <v>16.4257657147592</v>
      </c>
      <c r="AB19" s="56" t="n">
        <v>17.5635418968184</v>
      </c>
      <c r="AC19" s="56" t="n">
        <v>18.3922924491825</v>
      </c>
      <c r="AD19" s="56" t="n">
        <v>19.2210430015466</v>
      </c>
      <c r="AE19" s="56" t="n">
        <v>20.0497935539107</v>
      </c>
      <c r="AF19" s="56" t="n">
        <v>20.8785441062749</v>
      </c>
      <c r="AG19" s="56" t="n">
        <v>22.0935766957579</v>
      </c>
      <c r="AH19" s="56" t="n">
        <v>22.922327248122</v>
      </c>
      <c r="AI19" s="56" t="n">
        <v>23.7510778004861</v>
      </c>
      <c r="AJ19" s="56" t="n">
        <v>24.5798283528502</v>
      </c>
      <c r="AK19" s="56" t="n">
        <v>25.4085789052143</v>
      </c>
      <c r="AL19" s="56" t="n">
        <v>26.5463550872735</v>
      </c>
      <c r="AM19" s="56" t="n">
        <v>27.3751056396377</v>
      </c>
      <c r="AN19" s="56" t="n">
        <v>28.2038561920018</v>
      </c>
      <c r="AO19" s="56" t="n">
        <v>29.0326067443659</v>
      </c>
      <c r="AP19" s="56" t="n">
        <v>29.86135729673</v>
      </c>
      <c r="AQ19" s="51" t="s">
        <v>248</v>
      </c>
    </row>
    <row r="20" customFormat="false" ht="15" hidden="false" customHeight="false" outlineLevel="0" collapsed="false">
      <c r="A20" s="38" t="s">
        <v>249</v>
      </c>
      <c r="B20" s="51" t="s">
        <v>240</v>
      </c>
      <c r="C20" s="51" t="s">
        <v>250</v>
      </c>
      <c r="D20" s="52" t="s">
        <v>242</v>
      </c>
      <c r="E20" s="52" t="n">
        <v>5000</v>
      </c>
      <c r="F20" s="53" t="n">
        <v>0.06</v>
      </c>
      <c r="G20" s="54" t="n">
        <v>0</v>
      </c>
      <c r="H20" s="52" t="s">
        <v>152</v>
      </c>
      <c r="I20" s="55" t="n">
        <v>0</v>
      </c>
      <c r="J20" s="54" t="n">
        <v>0.42</v>
      </c>
      <c r="K20" s="56" t="n">
        <v>4.0625</v>
      </c>
      <c r="L20" s="56" t="n">
        <v>4.0625</v>
      </c>
      <c r="M20" s="56" t="n">
        <v>4.0625</v>
      </c>
      <c r="N20" s="56" t="n">
        <v>4.88900862068966</v>
      </c>
      <c r="O20" s="56" t="n">
        <v>6.12176724137931</v>
      </c>
      <c r="P20" s="56" t="n">
        <v>6.94827586206897</v>
      </c>
      <c r="Q20" s="56" t="n">
        <v>7.77478448275862</v>
      </c>
      <c r="R20" s="56" t="n">
        <v>9.16163793103448</v>
      </c>
      <c r="S20" s="56" t="n">
        <v>9.98814655172414</v>
      </c>
      <c r="T20" s="56" t="n">
        <v>10.8146551724138</v>
      </c>
      <c r="U20" s="56" t="n">
        <v>11.6411637931035</v>
      </c>
      <c r="V20" s="56" t="n">
        <v>12.4676724137931</v>
      </c>
      <c r="W20" s="56" t="n">
        <v>13.6724137931035</v>
      </c>
      <c r="X20" s="56" t="n">
        <v>14.4989224137931</v>
      </c>
      <c r="Y20" s="56" t="n">
        <v>15.3254310344828</v>
      </c>
      <c r="Z20" s="56" t="n">
        <v>16.1519396551724</v>
      </c>
      <c r="AA20" s="56" t="n">
        <v>16.9784482758621</v>
      </c>
      <c r="AB20" s="56" t="n">
        <v>18.5614224137931</v>
      </c>
      <c r="AC20" s="56" t="n">
        <v>19.3879310344828</v>
      </c>
      <c r="AD20" s="56" t="n">
        <v>20.2144396551724</v>
      </c>
      <c r="AE20" s="56" t="n">
        <v>21.0409482758621</v>
      </c>
      <c r="AF20" s="56" t="n">
        <v>21.8674568965517</v>
      </c>
      <c r="AG20" s="56" t="n">
        <v>23.4504310344828</v>
      </c>
      <c r="AH20" s="56" t="n">
        <v>24.2769396551724</v>
      </c>
      <c r="AI20" s="56" t="n">
        <v>25.1034482758621</v>
      </c>
      <c r="AJ20" s="56" t="n">
        <v>25.9299568965517</v>
      </c>
      <c r="AK20" s="56" t="n">
        <v>26.7564655172414</v>
      </c>
      <c r="AL20" s="56" t="n">
        <v>30.426724137931</v>
      </c>
      <c r="AM20" s="56" t="n">
        <v>31.2532327586207</v>
      </c>
      <c r="AN20" s="56" t="n">
        <v>32.0797413793103</v>
      </c>
      <c r="AO20" s="56" t="n">
        <v>32.90625</v>
      </c>
      <c r="AP20" s="56" t="n">
        <v>33.7327586206897</v>
      </c>
      <c r="AQ20" s="51"/>
    </row>
    <row r="21" customFormat="false" ht="15" hidden="false" customHeight="false" outlineLevel="0" collapsed="false">
      <c r="A21" s="38" t="s">
        <v>251</v>
      </c>
      <c r="B21" s="51" t="s">
        <v>252</v>
      </c>
      <c r="C21" s="51" t="s">
        <v>253</v>
      </c>
      <c r="D21" s="52" t="s">
        <v>254</v>
      </c>
      <c r="E21" s="52" t="n">
        <v>6000</v>
      </c>
      <c r="F21" s="53" t="n">
        <v>0.07</v>
      </c>
      <c r="G21" s="54" t="n">
        <v>0</v>
      </c>
      <c r="H21" s="52" t="s">
        <v>152</v>
      </c>
      <c r="I21" s="55" t="n">
        <v>0</v>
      </c>
      <c r="J21" s="54" t="n">
        <v>0.63</v>
      </c>
      <c r="K21" s="56" t="n">
        <v>5.425</v>
      </c>
      <c r="L21" s="56" t="n">
        <v>5.425</v>
      </c>
      <c r="M21" s="56" t="n">
        <v>5.425</v>
      </c>
      <c r="N21" s="56" t="n">
        <v>7.64122807017544</v>
      </c>
      <c r="O21" s="56" t="n">
        <v>9.85745614035088</v>
      </c>
      <c r="P21" s="56" t="n">
        <v>12.0736842105263</v>
      </c>
      <c r="Q21" s="56" t="n">
        <v>14.2899122807018</v>
      </c>
      <c r="R21" s="56" t="n">
        <v>16.6811951754386</v>
      </c>
      <c r="S21" s="56" t="n">
        <v>18.897423245614</v>
      </c>
      <c r="T21" s="56" t="n">
        <v>21.1136513157895</v>
      </c>
      <c r="U21" s="56" t="n">
        <v>23.3298793859649</v>
      </c>
      <c r="V21" s="56" t="n">
        <v>25.5461074561404</v>
      </c>
      <c r="W21" s="56" t="n">
        <v>28.2910010964912</v>
      </c>
      <c r="X21" s="56" t="n">
        <v>30.5072291666667</v>
      </c>
      <c r="Y21" s="56" t="n">
        <v>32.7234572368421</v>
      </c>
      <c r="Z21" s="56" t="n">
        <v>34.9396853070176</v>
      </c>
      <c r="AA21" s="56" t="n">
        <v>37.155913377193</v>
      </c>
      <c r="AB21" s="56" t="n">
        <v>39.8552927631579</v>
      </c>
      <c r="AC21" s="56" t="n">
        <v>42.0715208333333</v>
      </c>
      <c r="AD21" s="56" t="n">
        <v>44.2877489035088</v>
      </c>
      <c r="AE21" s="56" t="n">
        <v>46.5039769736842</v>
      </c>
      <c r="AF21" s="56" t="n">
        <v>48.7202050438597</v>
      </c>
      <c r="AG21" s="56" t="n">
        <v>51.2130197368421</v>
      </c>
      <c r="AH21" s="56" t="n">
        <v>53.4292478070175</v>
      </c>
      <c r="AI21" s="56" t="n">
        <v>55.645475877193</v>
      </c>
      <c r="AJ21" s="56" t="n">
        <v>57.8617039473684</v>
      </c>
      <c r="AK21" s="56" t="n">
        <v>60.0779320175439</v>
      </c>
      <c r="AL21" s="56" t="n">
        <v>62.2941600877193</v>
      </c>
      <c r="AM21" s="56" t="n">
        <v>64.5103881578947</v>
      </c>
      <c r="AN21" s="56" t="n">
        <v>66.7266162280702</v>
      </c>
      <c r="AO21" s="56" t="n">
        <v>68.9428442982456</v>
      </c>
      <c r="AP21" s="56" t="n">
        <v>71.1590723684211</v>
      </c>
      <c r="AQ21" s="51"/>
    </row>
    <row r="22" customFormat="false" ht="15" hidden="false" customHeight="false" outlineLevel="0" collapsed="false">
      <c r="A22" s="38" t="s">
        <v>255</v>
      </c>
      <c r="B22" s="51" t="s">
        <v>252</v>
      </c>
      <c r="C22" s="51" t="s">
        <v>256</v>
      </c>
      <c r="D22" s="52" t="s">
        <v>254</v>
      </c>
      <c r="E22" s="52" t="n">
        <v>6000</v>
      </c>
      <c r="F22" s="53" t="n">
        <v>0.07</v>
      </c>
      <c r="G22" s="54" t="n">
        <v>0</v>
      </c>
      <c r="H22" s="52" t="s">
        <v>152</v>
      </c>
      <c r="I22" s="55" t="n">
        <v>0</v>
      </c>
      <c r="J22" s="54" t="n">
        <v>0.63</v>
      </c>
      <c r="K22" s="56" t="n">
        <v>5.5795</v>
      </c>
      <c r="L22" s="56" t="n">
        <v>5.5795</v>
      </c>
      <c r="M22" s="56" t="n">
        <v>5.5795</v>
      </c>
      <c r="N22" s="56" t="n">
        <v>7.79035788603656</v>
      </c>
      <c r="O22" s="56" t="n">
        <v>10.0012157720731</v>
      </c>
      <c r="P22" s="56" t="n">
        <v>12.2120736581097</v>
      </c>
      <c r="Q22" s="56" t="n">
        <v>14.4229315441463</v>
      </c>
      <c r="R22" s="56" t="n">
        <v>16.6337894301828</v>
      </c>
      <c r="S22" s="56" t="n">
        <v>18.8446473162194</v>
      </c>
      <c r="T22" s="56" t="n">
        <v>21.0555052022559</v>
      </c>
      <c r="U22" s="56" t="n">
        <v>23.2663630882925</v>
      </c>
      <c r="V22" s="56" t="n">
        <v>25.4772209743291</v>
      </c>
      <c r="W22" s="56" t="n">
        <v>27.6880788603656</v>
      </c>
      <c r="X22" s="56" t="n">
        <v>29.8989367464022</v>
      </c>
      <c r="Y22" s="56" t="n">
        <v>32.1097946324387</v>
      </c>
      <c r="Z22" s="56" t="n">
        <v>34.3206525184753</v>
      </c>
      <c r="AA22" s="56" t="n">
        <v>36.5315104045119</v>
      </c>
      <c r="AB22" s="56" t="n">
        <v>38.7423682905484</v>
      </c>
      <c r="AC22" s="56" t="n">
        <v>40.953226176585</v>
      </c>
      <c r="AD22" s="56" t="n">
        <v>43.1640840626215</v>
      </c>
      <c r="AE22" s="56" t="n">
        <v>45.3749419486581</v>
      </c>
      <c r="AF22" s="56" t="n">
        <v>47.5857998346947</v>
      </c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1"/>
    </row>
    <row r="23" customFormat="false" ht="15" hidden="false" customHeight="false" outlineLevel="0" collapsed="false">
      <c r="A23" s="38" t="s">
        <v>257</v>
      </c>
      <c r="B23" s="51" t="s">
        <v>258</v>
      </c>
      <c r="C23" s="51" t="s">
        <v>259</v>
      </c>
      <c r="D23" s="52" t="s">
        <v>242</v>
      </c>
      <c r="E23" s="52" t="n">
        <v>5000</v>
      </c>
      <c r="F23" s="53" t="n">
        <v>0.13</v>
      </c>
      <c r="G23" s="54" t="n">
        <v>0</v>
      </c>
      <c r="H23" s="52" t="s">
        <v>152</v>
      </c>
      <c r="I23" s="55" t="n">
        <v>0</v>
      </c>
      <c r="J23" s="54" t="n">
        <v>0.65</v>
      </c>
      <c r="K23" s="56" t="n">
        <v>5.83125</v>
      </c>
      <c r="L23" s="56" t="n">
        <v>5.83125</v>
      </c>
      <c r="M23" s="56" t="n">
        <v>5.83125</v>
      </c>
      <c r="N23" s="56" t="n">
        <v>8.09482908458864</v>
      </c>
      <c r="O23" s="56" t="n">
        <v>10.3719220741599</v>
      </c>
      <c r="P23" s="56" t="n">
        <v>12.6355011587486</v>
      </c>
      <c r="Q23" s="56" t="n">
        <v>14.8990802433372</v>
      </c>
      <c r="R23" s="56" t="n">
        <v>17.2707705677868</v>
      </c>
      <c r="S23" s="56" t="n">
        <v>19.5343496523754</v>
      </c>
      <c r="T23" s="56" t="n">
        <v>21.7979287369641</v>
      </c>
      <c r="U23" s="56" t="n">
        <v>24.0615078215527</v>
      </c>
      <c r="V23" s="56" t="n">
        <v>26.3250869061414</v>
      </c>
      <c r="W23" s="56" t="n">
        <v>28.696777230591</v>
      </c>
      <c r="X23" s="56" t="n">
        <v>30.9603563151796</v>
      </c>
      <c r="Y23" s="56" t="n">
        <v>33.2239353997682</v>
      </c>
      <c r="Z23" s="56" t="n">
        <v>35.4875144843569</v>
      </c>
      <c r="AA23" s="56" t="n">
        <v>37.7510935689455</v>
      </c>
      <c r="AB23" s="56" t="n">
        <v>40.0146726535342</v>
      </c>
      <c r="AC23" s="56" t="n">
        <v>42.2782517381228</v>
      </c>
      <c r="AD23" s="56" t="n">
        <v>44.5418308227115</v>
      </c>
      <c r="AE23" s="56" t="n">
        <v>46.8054099073001</v>
      </c>
      <c r="AF23" s="56" t="n">
        <v>49.0689889918888</v>
      </c>
      <c r="AG23" s="56" t="n">
        <v>51.4406793163384</v>
      </c>
      <c r="AH23" s="56" t="n">
        <v>53.704258400927</v>
      </c>
      <c r="AI23" s="56" t="n">
        <v>55.9678374855156</v>
      </c>
      <c r="AJ23" s="56" t="n">
        <v>58.2314165701043</v>
      </c>
      <c r="AK23" s="56" t="n">
        <v>60.4949956546929</v>
      </c>
      <c r="AL23" s="56" t="n">
        <v>62.7585747392816</v>
      </c>
      <c r="AM23" s="56" t="n">
        <v>65.0221538238702</v>
      </c>
      <c r="AN23" s="56" t="n">
        <v>67.2857329084589</v>
      </c>
      <c r="AO23" s="56" t="n">
        <v>69.5493119930475</v>
      </c>
      <c r="AP23" s="56" t="n">
        <v>71.8128910776362</v>
      </c>
      <c r="AQ23" s="51"/>
    </row>
    <row r="24" customFormat="false" ht="15" hidden="false" customHeight="false" outlineLevel="0" collapsed="false">
      <c r="A24" s="38" t="s">
        <v>260</v>
      </c>
      <c r="B24" s="51" t="s">
        <v>258</v>
      </c>
      <c r="C24" s="51" t="s">
        <v>261</v>
      </c>
      <c r="D24" s="52" t="s">
        <v>242</v>
      </c>
      <c r="E24" s="52" t="n">
        <v>5000</v>
      </c>
      <c r="F24" s="53" t="n">
        <v>0</v>
      </c>
      <c r="G24" s="54" t="n">
        <v>0</v>
      </c>
      <c r="H24" s="52" t="s">
        <v>152</v>
      </c>
      <c r="I24" s="55" t="n">
        <v>0</v>
      </c>
      <c r="J24" s="54" t="n">
        <v>0.72</v>
      </c>
      <c r="K24" s="56" t="n">
        <v>4.9</v>
      </c>
      <c r="L24" s="56" t="n">
        <v>4.9</v>
      </c>
      <c r="M24" s="56" t="n">
        <v>4.9</v>
      </c>
      <c r="N24" s="56" t="n">
        <v>6.42352941176471</v>
      </c>
      <c r="O24" s="56" t="n">
        <v>7.94705882352941</v>
      </c>
      <c r="P24" s="56" t="n">
        <v>9.47058823529412</v>
      </c>
      <c r="Q24" s="56" t="n">
        <v>10.9941176470588</v>
      </c>
      <c r="R24" s="56" t="n">
        <v>12.5176470588235</v>
      </c>
      <c r="S24" s="56" t="n">
        <v>14.0411764705882</v>
      </c>
      <c r="T24" s="56" t="n">
        <v>15.5647058823529</v>
      </c>
      <c r="U24" s="56" t="n">
        <v>17.0882352941177</v>
      </c>
      <c r="V24" s="56" t="n">
        <v>18.6117647058824</v>
      </c>
      <c r="W24" s="56" t="n">
        <v>20.1352941176471</v>
      </c>
      <c r="X24" s="56" t="n">
        <v>21.6588235294118</v>
      </c>
      <c r="Y24" s="56" t="n">
        <v>23.1823529411765</v>
      </c>
      <c r="Z24" s="56" t="n">
        <v>24.7058823529412</v>
      </c>
      <c r="AA24" s="56" t="n">
        <v>26.2294117647059</v>
      </c>
      <c r="AB24" s="56" t="n">
        <v>27.7529411764706</v>
      </c>
      <c r="AC24" s="56" t="n">
        <v>29.2764705882353</v>
      </c>
      <c r="AD24" s="56" t="n">
        <v>30.8</v>
      </c>
      <c r="AE24" s="56" t="n">
        <v>32.3235294117647</v>
      </c>
      <c r="AF24" s="56" t="n">
        <v>33.8470588235294</v>
      </c>
      <c r="AG24" s="56" t="n">
        <v>35.3705882352941</v>
      </c>
      <c r="AH24" s="56" t="n">
        <v>36.8941176470588</v>
      </c>
      <c r="AI24" s="56" t="n">
        <v>38.4176470588235</v>
      </c>
      <c r="AJ24" s="56" t="n">
        <v>39.9411764705882</v>
      </c>
      <c r="AK24" s="56" t="n">
        <v>41.4647058823529</v>
      </c>
      <c r="AL24" s="56" t="n">
        <v>42.9882352941176</v>
      </c>
      <c r="AM24" s="56" t="n">
        <v>44.5117647058824</v>
      </c>
      <c r="AN24" s="56" t="n">
        <v>46.0352941176471</v>
      </c>
      <c r="AO24" s="56" t="n">
        <v>47.5588235294118</v>
      </c>
      <c r="AP24" s="56" t="n">
        <v>49.0823529411765</v>
      </c>
      <c r="AQ24" s="51"/>
    </row>
    <row r="25" customFormat="false" ht="15" hidden="false" customHeight="false" outlineLevel="0" collapsed="false">
      <c r="A25" s="38" t="s">
        <v>262</v>
      </c>
      <c r="B25" s="51" t="s">
        <v>263</v>
      </c>
      <c r="C25" s="51" t="s">
        <v>264</v>
      </c>
      <c r="D25" s="52" t="s">
        <v>242</v>
      </c>
      <c r="E25" s="52" t="n">
        <v>5000</v>
      </c>
      <c r="F25" s="53" t="n">
        <v>0.05</v>
      </c>
      <c r="G25" s="54" t="n">
        <v>0</v>
      </c>
      <c r="H25" s="52" t="s">
        <v>152</v>
      </c>
      <c r="I25" s="55" t="n">
        <v>0</v>
      </c>
      <c r="J25" s="54" t="n">
        <v>0.86</v>
      </c>
      <c r="K25" s="56" t="n">
        <v>4.7875</v>
      </c>
      <c r="L25" s="56" t="n">
        <v>4.7875</v>
      </c>
      <c r="M25" s="56" t="n">
        <v>4.7875</v>
      </c>
      <c r="N25" s="56" t="n">
        <v>6.39709051724138</v>
      </c>
      <c r="O25" s="56" t="n">
        <v>8.08922413793103</v>
      </c>
      <c r="P25" s="56" t="n">
        <v>9.64378591954023</v>
      </c>
      <c r="Q25" s="56" t="n">
        <v>11.1983477011494</v>
      </c>
      <c r="R25" s="56" t="n">
        <v>12.9730244252874</v>
      </c>
      <c r="S25" s="56" t="n">
        <v>14.5275862068966</v>
      </c>
      <c r="T25" s="56" t="n">
        <v>16.0821479885058</v>
      </c>
      <c r="U25" s="56" t="n">
        <v>17.636709770115</v>
      </c>
      <c r="V25" s="56" t="n">
        <v>19.1912715517241</v>
      </c>
      <c r="W25" s="56" t="n">
        <v>21.0897629310345</v>
      </c>
      <c r="X25" s="56" t="n">
        <v>22.6443247126437</v>
      </c>
      <c r="Y25" s="56" t="n">
        <v>24.1988864942529</v>
      </c>
      <c r="Z25" s="56" t="n">
        <v>25.7534482758621</v>
      </c>
      <c r="AA25" s="56" t="n">
        <v>27.3080100574713</v>
      </c>
      <c r="AB25" s="56" t="n">
        <v>30.6510057471264</v>
      </c>
      <c r="AC25" s="56" t="n">
        <v>32.2055675287356</v>
      </c>
      <c r="AD25" s="56" t="n">
        <v>33.7601293103448</v>
      </c>
      <c r="AE25" s="56" t="n">
        <v>35.314691091954</v>
      </c>
      <c r="AF25" s="56" t="n">
        <v>36.8692528735632</v>
      </c>
      <c r="AG25" s="56" t="n">
        <v>38.8365301724138</v>
      </c>
      <c r="AH25" s="56" t="n">
        <v>40.8038074712644</v>
      </c>
      <c r="AI25" s="56" t="n">
        <v>42.771084770115</v>
      </c>
      <c r="AJ25" s="56" t="n">
        <v>44.7383620689655</v>
      </c>
      <c r="AK25" s="56" t="n">
        <v>46.7056393678161</v>
      </c>
      <c r="AL25" s="56" t="n">
        <v>48.6729166666667</v>
      </c>
      <c r="AM25" s="56" t="n">
        <v>50.6401939655173</v>
      </c>
      <c r="AN25" s="56" t="n">
        <v>52.6074712643678</v>
      </c>
      <c r="AO25" s="56" t="n">
        <v>54.5747485632184</v>
      </c>
      <c r="AP25" s="56" t="n">
        <v>56.542025862069</v>
      </c>
      <c r="AQ25" s="51"/>
    </row>
    <row r="26" customFormat="false" ht="15" hidden="false" customHeight="false" outlineLevel="0" collapsed="false">
      <c r="A26" s="38" t="s">
        <v>265</v>
      </c>
      <c r="B26" s="51" t="s">
        <v>263</v>
      </c>
      <c r="C26" s="51" t="s">
        <v>266</v>
      </c>
      <c r="D26" s="52" t="s">
        <v>242</v>
      </c>
      <c r="E26" s="52" t="n">
        <v>5000</v>
      </c>
      <c r="F26" s="53" t="n">
        <v>0</v>
      </c>
      <c r="G26" s="54" t="n">
        <v>0.05</v>
      </c>
      <c r="H26" s="52" t="s">
        <v>152</v>
      </c>
      <c r="I26" s="55" t="n">
        <v>0</v>
      </c>
      <c r="J26" s="54" t="n">
        <v>0.7</v>
      </c>
      <c r="K26" s="56" t="n">
        <v>5.09375</v>
      </c>
      <c r="L26" s="56" t="n">
        <v>5.09375</v>
      </c>
      <c r="M26" s="56" t="n">
        <v>5.09375</v>
      </c>
      <c r="N26" s="56" t="n">
        <v>6.64580536912752</v>
      </c>
      <c r="O26" s="56" t="n">
        <v>8.67646812080537</v>
      </c>
      <c r="P26" s="56" t="n">
        <v>10.7618288590604</v>
      </c>
      <c r="Q26" s="56" t="n">
        <v>12.3138842281879</v>
      </c>
      <c r="R26" s="56" t="n">
        <v>14.1531040268456</v>
      </c>
      <c r="S26" s="56" t="n">
        <v>15.7051593959732</v>
      </c>
      <c r="T26" s="56" t="n">
        <v>17.2572147651007</v>
      </c>
      <c r="U26" s="56" t="n">
        <v>18.8092701342282</v>
      </c>
      <c r="V26" s="56" t="n">
        <v>20.3613255033557</v>
      </c>
      <c r="W26" s="56" t="n">
        <v>22.1868708053691</v>
      </c>
      <c r="X26" s="56" t="n">
        <v>23.7389261744967</v>
      </c>
      <c r="Y26" s="56" t="n">
        <v>25.2909815436242</v>
      </c>
      <c r="Z26" s="56" t="n">
        <v>26.8430369127517</v>
      </c>
      <c r="AA26" s="56" t="n">
        <v>28.3950922818792</v>
      </c>
      <c r="AB26" s="56" t="n">
        <v>30.2206375838926</v>
      </c>
      <c r="AC26" s="56" t="n">
        <v>31.7726929530201</v>
      </c>
      <c r="AD26" s="56" t="n">
        <v>33.3247483221477</v>
      </c>
      <c r="AE26" s="56" t="n">
        <v>34.8768036912752</v>
      </c>
      <c r="AF26" s="56" t="n">
        <v>36.4288590604027</v>
      </c>
      <c r="AG26" s="56" t="n">
        <v>38.2544043624161</v>
      </c>
      <c r="AH26" s="56" t="n">
        <v>39.8064597315436</v>
      </c>
      <c r="AI26" s="56" t="n">
        <v>41.3585151006712</v>
      </c>
      <c r="AJ26" s="56" t="n">
        <v>42.9105704697987</v>
      </c>
      <c r="AK26" s="56" t="n">
        <v>44.4626258389262</v>
      </c>
      <c r="AL26" s="56" t="n">
        <v>46.2881711409396</v>
      </c>
      <c r="AM26" s="56" t="n">
        <v>47.8402265100671</v>
      </c>
      <c r="AN26" s="56" t="n">
        <v>49.3922818791946</v>
      </c>
      <c r="AO26" s="56" t="n">
        <v>50.9443372483222</v>
      </c>
      <c r="AP26" s="56" t="n">
        <v>52.4963926174497</v>
      </c>
      <c r="AQ26" s="51" t="s">
        <v>267</v>
      </c>
    </row>
    <row r="27" customFormat="false" ht="15" hidden="false" customHeight="false" outlineLevel="0" collapsed="false">
      <c r="A27" s="38" t="s">
        <v>268</v>
      </c>
      <c r="B27" s="51" t="s">
        <v>263</v>
      </c>
      <c r="C27" s="51" t="s">
        <v>269</v>
      </c>
      <c r="D27" s="52" t="s">
        <v>242</v>
      </c>
      <c r="E27" s="52" t="n">
        <v>5000</v>
      </c>
      <c r="F27" s="53" t="n">
        <v>0</v>
      </c>
      <c r="G27" s="54" t="n">
        <v>0.05</v>
      </c>
      <c r="H27" s="52" t="s">
        <v>152</v>
      </c>
      <c r="I27" s="55" t="n">
        <v>0</v>
      </c>
      <c r="J27" s="54" t="n">
        <v>0.7</v>
      </c>
      <c r="K27" s="56" t="n">
        <v>4.325</v>
      </c>
      <c r="L27" s="56" t="n">
        <v>4.325</v>
      </c>
      <c r="M27" s="56" t="n">
        <v>4.325</v>
      </c>
      <c r="N27" s="56" t="n">
        <v>5.86864951768489</v>
      </c>
      <c r="O27" s="56" t="n">
        <v>7.41229903536978</v>
      </c>
      <c r="P27" s="56" t="n">
        <v>8.95594855305466</v>
      </c>
      <c r="Q27" s="56" t="n">
        <v>10.4995980707396</v>
      </c>
      <c r="R27" s="56" t="n">
        <v>13.0167202572347</v>
      </c>
      <c r="S27" s="56" t="n">
        <v>14.5603697749196</v>
      </c>
      <c r="T27" s="56" t="n">
        <v>16.1040192926045</v>
      </c>
      <c r="U27" s="56" t="n">
        <v>17.6476688102894</v>
      </c>
      <c r="V27" s="56" t="n">
        <v>19.1913183279743</v>
      </c>
      <c r="W27" s="56" t="n">
        <v>20.7349678456592</v>
      </c>
      <c r="X27" s="56" t="n">
        <v>22.2786173633441</v>
      </c>
      <c r="Y27" s="56" t="n">
        <v>23.8222668810289</v>
      </c>
      <c r="Z27" s="56" t="n">
        <v>25.3659163987138</v>
      </c>
      <c r="AA27" s="56" t="n">
        <v>26.9095659163987</v>
      </c>
      <c r="AB27" s="56" t="n">
        <v>28.4532154340836</v>
      </c>
      <c r="AC27" s="56" t="n">
        <v>29.9968649517685</v>
      </c>
      <c r="AD27" s="56" t="n">
        <v>31.5405144694534</v>
      </c>
      <c r="AE27" s="56" t="n">
        <v>33.0841639871383</v>
      </c>
      <c r="AF27" s="56" t="n">
        <v>34.6278135048232</v>
      </c>
      <c r="AG27" s="56" t="n">
        <v>36.171463022508</v>
      </c>
      <c r="AH27" s="56" t="n">
        <v>37.7151125401929</v>
      </c>
      <c r="AI27" s="56" t="n">
        <v>39.2587620578778</v>
      </c>
      <c r="AJ27" s="56" t="n">
        <v>40.8024115755627</v>
      </c>
      <c r="AK27" s="56" t="n">
        <v>42.3460610932476</v>
      </c>
      <c r="AL27" s="56" t="n">
        <v>43.8897106109325</v>
      </c>
      <c r="AM27" s="56" t="n">
        <v>45.4333601286174</v>
      </c>
      <c r="AN27" s="56" t="n">
        <v>46.9770096463022</v>
      </c>
      <c r="AO27" s="56" t="n">
        <v>48.5206591639871</v>
      </c>
      <c r="AP27" s="56" t="n">
        <v>50.064308681672</v>
      </c>
      <c r="AQ27" s="51" t="s">
        <v>267</v>
      </c>
    </row>
    <row r="28" customFormat="false" ht="15" hidden="false" customHeight="false" outlineLevel="0" collapsed="false">
      <c r="A28" s="38" t="s">
        <v>270</v>
      </c>
      <c r="B28" s="51" t="s">
        <v>271</v>
      </c>
      <c r="C28" s="51" t="s">
        <v>272</v>
      </c>
      <c r="D28" s="52" t="s">
        <v>254</v>
      </c>
      <c r="E28" s="52" t="n">
        <v>5000</v>
      </c>
      <c r="F28" s="53" t="n">
        <v>0.05</v>
      </c>
      <c r="G28" s="54" t="n">
        <v>0.1</v>
      </c>
      <c r="H28" s="52" t="s">
        <v>152</v>
      </c>
      <c r="I28" s="55" t="n">
        <v>0</v>
      </c>
      <c r="J28" s="54" t="n">
        <v>0.67</v>
      </c>
      <c r="K28" s="56" t="n">
        <v>6.125</v>
      </c>
      <c r="L28" s="56" t="n">
        <v>6.125</v>
      </c>
      <c r="M28" s="56" t="n">
        <v>6.125</v>
      </c>
      <c r="N28" s="56" t="n">
        <v>7.47115384615385</v>
      </c>
      <c r="O28" s="56" t="n">
        <v>9.30192307692308</v>
      </c>
      <c r="P28" s="56" t="n">
        <v>11.0788461538462</v>
      </c>
      <c r="Q28" s="56" t="n">
        <v>12.425</v>
      </c>
      <c r="R28" s="56" t="n">
        <v>15.0634615384615</v>
      </c>
      <c r="S28" s="56" t="n">
        <v>16.4096153846154</v>
      </c>
      <c r="T28" s="56" t="n">
        <v>17.7557692307692</v>
      </c>
      <c r="U28" s="56" t="n">
        <v>19.1019230769231</v>
      </c>
      <c r="V28" s="56" t="n">
        <v>20.4480769230769</v>
      </c>
      <c r="W28" s="56" t="n">
        <v>22.3057692307692</v>
      </c>
      <c r="X28" s="56" t="n">
        <v>23.6519230769231</v>
      </c>
      <c r="Y28" s="56" t="n">
        <v>24.9980769230769</v>
      </c>
      <c r="Z28" s="56" t="n">
        <v>26.3442307692308</v>
      </c>
      <c r="AA28" s="56" t="n">
        <v>27.6903846153846</v>
      </c>
      <c r="AB28" s="56" t="n">
        <v>30.1807692307692</v>
      </c>
      <c r="AC28" s="56" t="n">
        <v>31.5269230769231</v>
      </c>
      <c r="AD28" s="56" t="n">
        <v>32.8730769230769</v>
      </c>
      <c r="AE28" s="56" t="n">
        <v>34.2192307692308</v>
      </c>
      <c r="AF28" s="56" t="n">
        <v>35.5653846153846</v>
      </c>
      <c r="AG28" s="56" t="n">
        <v>37.9615384615385</v>
      </c>
      <c r="AH28" s="56" t="n">
        <v>39.3076923076923</v>
      </c>
      <c r="AI28" s="56" t="n">
        <v>40.6538461538462</v>
      </c>
      <c r="AJ28" s="56" t="n">
        <v>42</v>
      </c>
      <c r="AK28" s="56" t="n">
        <v>43.3461538461539</v>
      </c>
      <c r="AL28" s="56" t="n">
        <v>45.9442307692308</v>
      </c>
      <c r="AM28" s="56" t="n">
        <v>47.2903846153846</v>
      </c>
      <c r="AN28" s="56" t="n">
        <v>48.6365384615385</v>
      </c>
      <c r="AO28" s="56" t="n">
        <v>49.9826923076923</v>
      </c>
      <c r="AP28" s="56" t="n">
        <v>51.3288461538462</v>
      </c>
      <c r="AQ28" s="51"/>
    </row>
    <row r="29" customFormat="false" ht="15" hidden="false" customHeight="false" outlineLevel="0" collapsed="false">
      <c r="A29" s="38" t="s">
        <v>273</v>
      </c>
      <c r="B29" s="51" t="s">
        <v>271</v>
      </c>
      <c r="C29" s="51" t="s">
        <v>274</v>
      </c>
      <c r="D29" s="52" t="s">
        <v>254</v>
      </c>
      <c r="E29" s="52" t="n">
        <v>5000</v>
      </c>
      <c r="F29" s="53" t="n">
        <v>0.05</v>
      </c>
      <c r="G29" s="54" t="n">
        <v>0.1</v>
      </c>
      <c r="H29" s="52" t="s">
        <v>152</v>
      </c>
      <c r="I29" s="55" t="n">
        <v>0</v>
      </c>
      <c r="J29" s="54" t="n">
        <v>0.67</v>
      </c>
      <c r="K29" s="56" t="n">
        <v>4.4625</v>
      </c>
      <c r="L29" s="56" t="n">
        <v>4.4625</v>
      </c>
      <c r="M29" s="56" t="n">
        <v>4.4625</v>
      </c>
      <c r="N29" s="56" t="n">
        <v>5.84836956521739</v>
      </c>
      <c r="O29" s="56" t="n">
        <v>7.73315217391304</v>
      </c>
      <c r="P29" s="56" t="n">
        <v>9.5625</v>
      </c>
      <c r="Q29" s="56" t="n">
        <v>10.9483695652174</v>
      </c>
      <c r="R29" s="56" t="n">
        <v>13.6646739130435</v>
      </c>
      <c r="S29" s="56" t="n">
        <v>15.0505434782609</v>
      </c>
      <c r="T29" s="56" t="n">
        <v>16.4364130434783</v>
      </c>
      <c r="U29" s="56" t="n">
        <v>17.8222826086957</v>
      </c>
      <c r="V29" s="56" t="n">
        <v>19.208152173913</v>
      </c>
      <c r="W29" s="56" t="n">
        <v>21.120652173913</v>
      </c>
      <c r="X29" s="56" t="n">
        <v>22.5065217391304</v>
      </c>
      <c r="Y29" s="56" t="n">
        <v>23.8923913043478</v>
      </c>
      <c r="Z29" s="56" t="n">
        <v>25.2782608695652</v>
      </c>
      <c r="AA29" s="56" t="n">
        <v>26.6641304347826</v>
      </c>
      <c r="AB29" s="56" t="n">
        <v>29.2279891304348</v>
      </c>
      <c r="AC29" s="56" t="n">
        <v>30.6138586956522</v>
      </c>
      <c r="AD29" s="56" t="n">
        <v>31.9997282608696</v>
      </c>
      <c r="AE29" s="56" t="n">
        <v>33.385597826087</v>
      </c>
      <c r="AF29" s="56" t="n">
        <v>34.7714673913044</v>
      </c>
      <c r="AG29" s="56" t="n">
        <v>37.2383152173913</v>
      </c>
      <c r="AH29" s="56" t="n">
        <v>38.6241847826087</v>
      </c>
      <c r="AI29" s="56" t="n">
        <v>40.0100543478261</v>
      </c>
      <c r="AJ29" s="56" t="n">
        <v>41.3959239130435</v>
      </c>
      <c r="AK29" s="56" t="n">
        <v>42.7817934782609</v>
      </c>
      <c r="AL29" s="56" t="n">
        <v>45.4565217391304</v>
      </c>
      <c r="AM29" s="56" t="n">
        <v>46.8423913043478</v>
      </c>
      <c r="AN29" s="56" t="n">
        <v>48.2282608695652</v>
      </c>
      <c r="AO29" s="56" t="n">
        <v>49.6141304347826</v>
      </c>
      <c r="AP29" s="56" t="n">
        <v>51</v>
      </c>
      <c r="AQ29" s="51"/>
    </row>
    <row r="30" customFormat="false" ht="15" hidden="false" customHeight="false" outlineLevel="0" collapsed="false">
      <c r="A30" s="38" t="s">
        <v>275</v>
      </c>
      <c r="B30" s="51" t="s">
        <v>271</v>
      </c>
      <c r="C30" s="51" t="s">
        <v>276</v>
      </c>
      <c r="D30" s="52" t="s">
        <v>254</v>
      </c>
      <c r="E30" s="52" t="n">
        <v>5000</v>
      </c>
      <c r="F30" s="53" t="n">
        <v>0</v>
      </c>
      <c r="G30" s="54" t="n">
        <v>0.05</v>
      </c>
      <c r="H30" s="52" t="s">
        <v>152</v>
      </c>
      <c r="I30" s="55" t="n">
        <v>0</v>
      </c>
      <c r="J30" s="54" t="n">
        <v>0.64</v>
      </c>
      <c r="K30" s="56" t="n">
        <v>4.8</v>
      </c>
      <c r="L30" s="56" t="n">
        <v>4.8</v>
      </c>
      <c r="M30" s="56" t="n">
        <v>4.8</v>
      </c>
      <c r="N30" s="56" t="n">
        <v>6.25787965616046</v>
      </c>
      <c r="O30" s="56" t="n">
        <v>7.81203438395415</v>
      </c>
      <c r="P30" s="56" t="n">
        <v>9.18739255014327</v>
      </c>
      <c r="Q30" s="56" t="n">
        <v>10.5627507163324</v>
      </c>
      <c r="R30" s="56" t="n">
        <v>12.1031518624642</v>
      </c>
      <c r="S30" s="56" t="n">
        <v>13.4785100286533</v>
      </c>
      <c r="T30" s="56" t="n">
        <v>14.8538681948424</v>
      </c>
      <c r="U30" s="56" t="n">
        <v>16.2292263610315</v>
      </c>
      <c r="V30" s="56" t="n">
        <v>17.6045845272206</v>
      </c>
      <c r="W30" s="56" t="n">
        <v>19.1587392550143</v>
      </c>
      <c r="X30" s="56" t="n">
        <v>20.5340974212034</v>
      </c>
      <c r="Y30" s="56" t="n">
        <v>21.9094555873926</v>
      </c>
      <c r="Z30" s="56" t="n">
        <v>23.2848137535817</v>
      </c>
      <c r="AA30" s="56" t="n">
        <v>24.6601719197708</v>
      </c>
      <c r="AB30" s="56" t="n">
        <v>26.0355300859599</v>
      </c>
      <c r="AC30" s="56" t="n">
        <v>27.410888252149</v>
      </c>
      <c r="AD30" s="56" t="n">
        <v>28.7862464183381</v>
      </c>
      <c r="AE30" s="56" t="n">
        <v>30.1616045845272</v>
      </c>
      <c r="AF30" s="56" t="n">
        <v>31.5369627507163</v>
      </c>
      <c r="AG30" s="56" t="n">
        <v>33.1048710601719</v>
      </c>
      <c r="AH30" s="56" t="n">
        <v>34.480229226361</v>
      </c>
      <c r="AI30" s="56" t="n">
        <v>35.8555873925501</v>
      </c>
      <c r="AJ30" s="56" t="n">
        <v>37.2309455587393</v>
      </c>
      <c r="AK30" s="56" t="n">
        <v>38.6063037249284</v>
      </c>
      <c r="AL30" s="56" t="n">
        <v>40.3942693409742</v>
      </c>
      <c r="AM30" s="56" t="n">
        <v>41.7696275071633</v>
      </c>
      <c r="AN30" s="56" t="n">
        <v>43.1449856733524</v>
      </c>
      <c r="AO30" s="56" t="n">
        <v>44.5203438395415</v>
      </c>
      <c r="AP30" s="56" t="n">
        <v>45.8957020057307</v>
      </c>
      <c r="AQ30" s="51" t="s">
        <v>277</v>
      </c>
    </row>
    <row r="31" customFormat="false" ht="15" hidden="false" customHeight="false" outlineLevel="0" collapsed="false">
      <c r="A31" s="38" t="s">
        <v>278</v>
      </c>
      <c r="B31" s="51" t="s">
        <v>271</v>
      </c>
      <c r="C31" s="51" t="s">
        <v>279</v>
      </c>
      <c r="D31" s="52" t="s">
        <v>254</v>
      </c>
      <c r="E31" s="52" t="n">
        <v>5000</v>
      </c>
      <c r="F31" s="53" t="n">
        <v>0</v>
      </c>
      <c r="G31" s="54" t="n">
        <v>0</v>
      </c>
      <c r="H31" s="52" t="s">
        <v>152</v>
      </c>
      <c r="I31" s="55" t="n">
        <v>0</v>
      </c>
      <c r="J31" s="54" t="n">
        <v>0.75</v>
      </c>
      <c r="K31" s="56" t="n">
        <v>4.95</v>
      </c>
      <c r="L31" s="56" t="n">
        <v>4.95</v>
      </c>
      <c r="M31" s="56" t="n">
        <v>4.95</v>
      </c>
      <c r="N31" s="56" t="n">
        <v>6.32119113573407</v>
      </c>
      <c r="O31" s="56" t="n">
        <v>7.70609418282549</v>
      </c>
      <c r="P31" s="56" t="n">
        <v>9.11842105263158</v>
      </c>
      <c r="Q31" s="56" t="n">
        <v>10.4896121883657</v>
      </c>
      <c r="R31" s="56" t="n">
        <v>12.6835180055402</v>
      </c>
      <c r="S31" s="56" t="n">
        <v>14.0547091412742</v>
      </c>
      <c r="T31" s="56" t="n">
        <v>15.4259002770083</v>
      </c>
      <c r="U31" s="56" t="n">
        <v>16.7970914127424</v>
      </c>
      <c r="V31" s="56" t="n">
        <v>18.1682825484765</v>
      </c>
      <c r="W31" s="56" t="n">
        <v>20.0879501385042</v>
      </c>
      <c r="X31" s="56" t="n">
        <v>21.4591412742382</v>
      </c>
      <c r="Y31" s="56" t="n">
        <v>22.8303324099723</v>
      </c>
      <c r="Z31" s="56" t="n">
        <v>24.2015235457064</v>
      </c>
      <c r="AA31" s="56" t="n">
        <v>25.5727146814404</v>
      </c>
      <c r="AB31" s="56" t="n">
        <v>27.4649584487535</v>
      </c>
      <c r="AC31" s="56" t="n">
        <v>28.8361495844875</v>
      </c>
      <c r="AD31" s="56" t="n">
        <v>30.2073407202216</v>
      </c>
      <c r="AE31" s="56" t="n">
        <v>31.5785318559557</v>
      </c>
      <c r="AF31" s="56" t="n">
        <v>32.9497229916898</v>
      </c>
      <c r="AG31" s="56" t="n">
        <v>34.6225761772853</v>
      </c>
      <c r="AH31" s="56" t="n">
        <v>35.9937673130194</v>
      </c>
      <c r="AI31" s="56" t="n">
        <v>37.3649584487535</v>
      </c>
      <c r="AJ31" s="56" t="n">
        <v>38.7361495844875</v>
      </c>
      <c r="AK31" s="56" t="n">
        <v>40.1073407202216</v>
      </c>
      <c r="AL31" s="56" t="n">
        <v>41.8213296398892</v>
      </c>
      <c r="AM31" s="56" t="n">
        <v>43.1925207756233</v>
      </c>
      <c r="AN31" s="56" t="n">
        <v>44.5637119113573</v>
      </c>
      <c r="AO31" s="56" t="n">
        <v>45.9349030470914</v>
      </c>
      <c r="AP31" s="56" t="n">
        <v>47.3060941828255</v>
      </c>
      <c r="AQ31" s="51" t="s">
        <v>280</v>
      </c>
    </row>
    <row r="32" customFormat="false" ht="15" hidden="false" customHeight="false" outlineLevel="0" collapsed="false">
      <c r="A32" s="38" t="s">
        <v>281</v>
      </c>
      <c r="B32" s="51" t="s">
        <v>282</v>
      </c>
      <c r="C32" s="51" t="s">
        <v>283</v>
      </c>
      <c r="D32" s="52" t="s">
        <v>254</v>
      </c>
      <c r="E32" s="52" t="n">
        <v>5000</v>
      </c>
      <c r="F32" s="53" t="n">
        <v>0</v>
      </c>
      <c r="G32" s="54" t="n">
        <v>0</v>
      </c>
      <c r="H32" s="52" t="s">
        <v>152</v>
      </c>
      <c r="I32" s="55" t="n">
        <v>0</v>
      </c>
      <c r="J32" s="54" t="n">
        <v>0.64</v>
      </c>
      <c r="K32" s="56" t="n">
        <v>4.7</v>
      </c>
      <c r="L32" s="56" t="n">
        <v>4.7</v>
      </c>
      <c r="M32" s="56" t="n">
        <v>4.7</v>
      </c>
      <c r="N32" s="56" t="n">
        <v>6.11964809384164</v>
      </c>
      <c r="O32" s="56" t="n">
        <v>7.49794721407625</v>
      </c>
      <c r="P32" s="56" t="n">
        <v>8.97272727272727</v>
      </c>
      <c r="Q32" s="56" t="n">
        <v>10.3510263929619</v>
      </c>
      <c r="R32" s="56" t="n">
        <v>11.7293255131965</v>
      </c>
      <c r="S32" s="56" t="n">
        <v>13.1076246334311</v>
      </c>
      <c r="T32" s="56" t="n">
        <v>14.4859237536657</v>
      </c>
      <c r="U32" s="56" t="n">
        <v>15.8642228739003</v>
      </c>
      <c r="V32" s="56" t="n">
        <v>17.2425219941349</v>
      </c>
      <c r="W32" s="56" t="n">
        <v>19.199706744868</v>
      </c>
      <c r="X32" s="56" t="n">
        <v>20.5780058651026</v>
      </c>
      <c r="Y32" s="56" t="n">
        <v>21.9563049853372</v>
      </c>
      <c r="Z32" s="56" t="n">
        <v>23.3346041055718</v>
      </c>
      <c r="AA32" s="56" t="n">
        <v>24.7129032258065</v>
      </c>
      <c r="AB32" s="56" t="n">
        <v>26.0912023460411</v>
      </c>
      <c r="AC32" s="56" t="n">
        <v>27.4695014662757</v>
      </c>
      <c r="AD32" s="56" t="n">
        <v>28.8478005865103</v>
      </c>
      <c r="AE32" s="56" t="n">
        <v>30.2260997067449</v>
      </c>
      <c r="AF32" s="56" t="n">
        <v>31.6043988269795</v>
      </c>
      <c r="AG32" s="56" t="n">
        <v>33.2859237536657</v>
      </c>
      <c r="AH32" s="56" t="n">
        <v>34.6642228739003</v>
      </c>
      <c r="AI32" s="56" t="n">
        <v>36.0425219941349</v>
      </c>
      <c r="AJ32" s="56" t="n">
        <v>37.4208211143695</v>
      </c>
      <c r="AK32" s="56" t="n">
        <v>38.7991202346041</v>
      </c>
      <c r="AL32" s="56" t="n">
        <v>40.4806451612903</v>
      </c>
      <c r="AM32" s="56" t="n">
        <v>41.8589442815249</v>
      </c>
      <c r="AN32" s="56" t="n">
        <v>43.2372434017595</v>
      </c>
      <c r="AO32" s="56" t="n">
        <v>44.6155425219941</v>
      </c>
      <c r="AP32" s="56" t="n">
        <v>45.9938416422287</v>
      </c>
      <c r="AQ32" s="51"/>
    </row>
    <row r="33" customFormat="false" ht="15" hidden="false" customHeight="false" outlineLevel="0" collapsed="false">
      <c r="A33" s="38" t="s">
        <v>284</v>
      </c>
      <c r="B33" s="51" t="s">
        <v>282</v>
      </c>
      <c r="C33" s="51" t="s">
        <v>285</v>
      </c>
      <c r="D33" s="52" t="s">
        <v>254</v>
      </c>
      <c r="E33" s="52" t="n">
        <v>5000</v>
      </c>
      <c r="F33" s="53" t="n">
        <v>0</v>
      </c>
      <c r="G33" s="54" t="n">
        <v>0</v>
      </c>
      <c r="H33" s="52" t="s">
        <v>152</v>
      </c>
      <c r="I33" s="55" t="n">
        <v>0</v>
      </c>
      <c r="J33" s="54" t="n">
        <v>0.75</v>
      </c>
      <c r="K33" s="56" t="n">
        <v>4.875</v>
      </c>
      <c r="L33" s="56" t="n">
        <v>4.875</v>
      </c>
      <c r="M33" s="56" t="n">
        <v>4.875</v>
      </c>
      <c r="N33" s="56" t="n">
        <v>6.24823943661972</v>
      </c>
      <c r="O33" s="56" t="n">
        <v>11.3292253521127</v>
      </c>
      <c r="P33" s="56" t="n">
        <v>12.7024647887324</v>
      </c>
      <c r="Q33" s="56" t="n">
        <v>14.0757042253521</v>
      </c>
      <c r="R33" s="56" t="n">
        <v>15.4489436619718</v>
      </c>
      <c r="S33" s="56" t="n">
        <v>16.8221830985916</v>
      </c>
      <c r="T33" s="56" t="n">
        <v>18.1954225352113</v>
      </c>
      <c r="U33" s="56" t="n">
        <v>19.568661971831</v>
      </c>
      <c r="V33" s="56" t="n">
        <v>20.9419014084507</v>
      </c>
      <c r="W33" s="56" t="n">
        <v>22.3151408450704</v>
      </c>
      <c r="X33" s="56" t="n">
        <v>23.6883802816902</v>
      </c>
      <c r="Y33" s="56" t="n">
        <v>25.0616197183099</v>
      </c>
      <c r="Z33" s="56" t="n">
        <v>26.4348591549296</v>
      </c>
      <c r="AA33" s="56" t="n">
        <v>27.8080985915493</v>
      </c>
      <c r="AB33" s="56" t="n">
        <v>29.181338028169</v>
      </c>
      <c r="AC33" s="56" t="n">
        <v>30.5545774647887</v>
      </c>
      <c r="AD33" s="56" t="n">
        <v>31.9278169014085</v>
      </c>
      <c r="AE33" s="56" t="n">
        <v>33.3010563380282</v>
      </c>
      <c r="AF33" s="56" t="n">
        <v>34.6742957746479</v>
      </c>
      <c r="AG33" s="56" t="n">
        <v>36.0475352112676</v>
      </c>
      <c r="AH33" s="56" t="n">
        <v>37.4207746478873</v>
      </c>
      <c r="AI33" s="56" t="n">
        <v>38.7940140845071</v>
      </c>
      <c r="AJ33" s="56" t="n">
        <v>40.1672535211268</v>
      </c>
      <c r="AK33" s="56" t="n">
        <v>41.5404929577465</v>
      </c>
      <c r="AL33" s="56" t="n">
        <v>42.9137323943662</v>
      </c>
      <c r="AM33" s="56" t="n">
        <v>44.2869718309859</v>
      </c>
      <c r="AN33" s="56" t="n">
        <v>45.6602112676056</v>
      </c>
      <c r="AO33" s="56" t="n">
        <v>47.0334507042254</v>
      </c>
      <c r="AP33" s="56" t="n">
        <v>48.4066901408451</v>
      </c>
      <c r="AQ33" s="51"/>
    </row>
    <row r="34" customFormat="false" ht="15" hidden="false" customHeight="false" outlineLevel="0" collapsed="false">
      <c r="A34" s="38" t="s">
        <v>286</v>
      </c>
      <c r="B34" s="51" t="s">
        <v>287</v>
      </c>
      <c r="C34" s="51" t="s">
        <v>288</v>
      </c>
      <c r="D34" s="52" t="s">
        <v>289</v>
      </c>
      <c r="E34" s="52" t="n">
        <v>5000</v>
      </c>
      <c r="F34" s="53" t="n">
        <v>0.07</v>
      </c>
      <c r="G34" s="54" t="n">
        <v>0.1</v>
      </c>
      <c r="H34" s="52" t="s">
        <v>152</v>
      </c>
      <c r="I34" s="55" t="n">
        <v>0.02</v>
      </c>
      <c r="J34" s="54" t="n">
        <v>1.25</v>
      </c>
      <c r="K34" s="56" t="n">
        <v>6.625</v>
      </c>
      <c r="L34" s="56" t="n">
        <v>6.625</v>
      </c>
      <c r="M34" s="56" t="n">
        <v>6.625</v>
      </c>
      <c r="N34" s="56" t="n">
        <v>8.49873737373738</v>
      </c>
      <c r="O34" s="56" t="n">
        <v>10.9078282828283</v>
      </c>
      <c r="P34" s="56" t="n">
        <v>12.6477272727273</v>
      </c>
      <c r="Q34" s="56" t="n">
        <v>14.3876262626263</v>
      </c>
      <c r="R34" s="56" t="n">
        <v>17.5997474747475</v>
      </c>
      <c r="S34" s="56" t="n">
        <v>19.3396464646465</v>
      </c>
      <c r="T34" s="56" t="n">
        <v>21.0795454545455</v>
      </c>
      <c r="U34" s="56" t="n">
        <v>22.8194444444445</v>
      </c>
      <c r="V34" s="56" t="n">
        <v>24.5593434343434</v>
      </c>
      <c r="W34" s="56" t="n">
        <v>27.7714646464647</v>
      </c>
      <c r="X34" s="56" t="n">
        <v>29.5113636363636</v>
      </c>
      <c r="Y34" s="56" t="n">
        <v>31.2512626262626</v>
      </c>
      <c r="Z34" s="56" t="n">
        <v>32.9911616161616</v>
      </c>
      <c r="AA34" s="56" t="n">
        <v>34.7310606060606</v>
      </c>
      <c r="AB34" s="56" t="n">
        <v>36.4709595959596</v>
      </c>
      <c r="AC34" s="56" t="n">
        <v>38.2108585858586</v>
      </c>
      <c r="AD34" s="56" t="n">
        <v>39.9507575757576</v>
      </c>
      <c r="AE34" s="56" t="n">
        <v>41.6906565656566</v>
      </c>
      <c r="AF34" s="56" t="n">
        <v>43.4305555555556</v>
      </c>
      <c r="AG34" s="56" t="n">
        <v>47.9275252525253</v>
      </c>
      <c r="AH34" s="56" t="n">
        <v>49.6674242424243</v>
      </c>
      <c r="AI34" s="56" t="n">
        <v>51.4073232323232</v>
      </c>
      <c r="AJ34" s="56" t="n">
        <v>53.1472222222222</v>
      </c>
      <c r="AK34" s="56" t="n">
        <v>54.8871212121212</v>
      </c>
      <c r="AL34" s="56" t="n">
        <v>56.6270202020202</v>
      </c>
      <c r="AM34" s="56" t="n">
        <v>58.3669191919192</v>
      </c>
      <c r="AN34" s="56" t="n">
        <v>60.1068181818182</v>
      </c>
      <c r="AO34" s="56" t="n">
        <v>61.8467171717172</v>
      </c>
      <c r="AP34" s="56" t="n">
        <v>63.5866161616162</v>
      </c>
      <c r="AQ34" s="51" t="s">
        <v>290</v>
      </c>
    </row>
    <row r="35" customFormat="false" ht="15" hidden="false" customHeight="false" outlineLevel="0" collapsed="false">
      <c r="A35" s="38" t="s">
        <v>291</v>
      </c>
      <c r="B35" s="51" t="s">
        <v>292</v>
      </c>
      <c r="C35" s="51" t="s">
        <v>293</v>
      </c>
      <c r="D35" s="52" t="s">
        <v>294</v>
      </c>
      <c r="E35" s="52" t="n">
        <v>5000</v>
      </c>
      <c r="F35" s="53" t="n">
        <v>0.06</v>
      </c>
      <c r="G35" s="54" t="n">
        <v>0.1</v>
      </c>
      <c r="H35" s="52" t="s">
        <v>157</v>
      </c>
      <c r="I35" s="55" t="n">
        <v>0</v>
      </c>
      <c r="J35" s="54" t="n">
        <v>0</v>
      </c>
      <c r="K35" s="56" t="n">
        <v>6.4125</v>
      </c>
      <c r="L35" s="56" t="n">
        <v>6.4125</v>
      </c>
      <c r="M35" s="56" t="n">
        <v>6.4125</v>
      </c>
      <c r="N35" s="56" t="n">
        <v>8.30405334728034</v>
      </c>
      <c r="O35" s="56" t="n">
        <v>10.1956066945607</v>
      </c>
      <c r="P35" s="56" t="n">
        <v>13.1335512552301</v>
      </c>
      <c r="Q35" s="56" t="n">
        <v>15.0251046025105</v>
      </c>
      <c r="R35" s="56" t="n">
        <v>16.9166579497908</v>
      </c>
      <c r="S35" s="56" t="n">
        <v>18.8082112970711</v>
      </c>
      <c r="T35" s="56" t="n">
        <v>20.6997646443515</v>
      </c>
      <c r="U35" s="56" t="n">
        <v>22.5913179916318</v>
      </c>
      <c r="V35" s="56" t="n">
        <v>24.4828713389121</v>
      </c>
      <c r="W35" s="56" t="n">
        <v>27.1927562761506</v>
      </c>
      <c r="X35" s="56" t="n">
        <v>29.084309623431</v>
      </c>
      <c r="Y35" s="56" t="n">
        <v>30.9758629707113</v>
      </c>
      <c r="Z35" s="56" t="n">
        <v>32.8674163179916</v>
      </c>
      <c r="AA35" s="56" t="n">
        <v>34.758969665272</v>
      </c>
      <c r="AB35" s="56" t="n">
        <v>36.6505230125523</v>
      </c>
      <c r="AC35" s="56" t="n">
        <v>38.5420763598326</v>
      </c>
      <c r="AD35" s="56" t="n">
        <v>40.433629707113</v>
      </c>
      <c r="AE35" s="56" t="n">
        <v>42.3251830543933</v>
      </c>
      <c r="AF35" s="56" t="n">
        <v>44.2167364016736</v>
      </c>
      <c r="AG35" s="56" t="n">
        <v>46.108289748954</v>
      </c>
      <c r="AH35" s="56" t="n">
        <v>47.9998430962343</v>
      </c>
      <c r="AI35" s="56" t="n">
        <v>49.8913964435147</v>
      </c>
      <c r="AJ35" s="56" t="n">
        <v>51.782949790795</v>
      </c>
      <c r="AK35" s="56" t="n">
        <v>53.6745031380753</v>
      </c>
      <c r="AL35" s="56" t="n">
        <v>55.5660564853557</v>
      </c>
      <c r="AM35" s="56" t="n">
        <v>57.457609832636</v>
      </c>
      <c r="AN35" s="56" t="n">
        <v>59.3491631799163</v>
      </c>
      <c r="AO35" s="56" t="n">
        <v>61.2407165271967</v>
      </c>
      <c r="AP35" s="56" t="n">
        <v>63.132269874477</v>
      </c>
      <c r="AQ35" s="51"/>
    </row>
    <row r="36" customFormat="false" ht="15" hidden="false" customHeight="false" outlineLevel="0" collapsed="false">
      <c r="A36" s="38" t="s">
        <v>295</v>
      </c>
      <c r="B36" s="51" t="s">
        <v>296</v>
      </c>
      <c r="C36" s="51" t="s">
        <v>297</v>
      </c>
      <c r="D36" s="52" t="s">
        <v>294</v>
      </c>
      <c r="E36" s="52" t="n">
        <v>5000</v>
      </c>
      <c r="F36" s="53" t="n">
        <v>0</v>
      </c>
      <c r="G36" s="54" t="n">
        <v>0</v>
      </c>
      <c r="H36" s="52" t="s">
        <v>157</v>
      </c>
      <c r="I36" s="55" t="n">
        <v>0</v>
      </c>
      <c r="J36" s="54" t="n">
        <v>0</v>
      </c>
      <c r="K36" s="56" t="n">
        <v>5.94669117647059</v>
      </c>
      <c r="L36" s="56" t="n">
        <v>6.3629794009696</v>
      </c>
      <c r="M36" s="56" t="n">
        <v>7.12809255333765</v>
      </c>
      <c r="N36" s="56" t="n">
        <v>8.81467496908673</v>
      </c>
      <c r="O36" s="56" t="n">
        <v>10.7393631376475</v>
      </c>
      <c r="P36" s="56" t="n">
        <v>12.5799206068814</v>
      </c>
      <c r="Q36" s="56" t="n">
        <v>14.3347600051031</v>
      </c>
      <c r="R36" s="56" t="n">
        <v>15.9689591552337</v>
      </c>
      <c r="S36" s="56" t="n">
        <v>17.4317221633398</v>
      </c>
      <c r="T36" s="56" t="n">
        <v>18.894485171446</v>
      </c>
      <c r="U36" s="56" t="n">
        <v>20.3572481795521</v>
      </c>
      <c r="V36" s="56" t="n">
        <v>21.8200111876583</v>
      </c>
      <c r="W36" s="56" t="n">
        <v>24.3256773930794</v>
      </c>
      <c r="X36" s="56" t="n">
        <v>25.7884404011855</v>
      </c>
      <c r="Y36" s="56" t="n">
        <v>27.2512034092916</v>
      </c>
      <c r="Z36" s="56" t="n">
        <v>28.7139664173978</v>
      </c>
      <c r="AA36" s="56" t="n">
        <v>30.1767294255039</v>
      </c>
      <c r="AB36" s="56" t="n">
        <v>32.0934807356376</v>
      </c>
      <c r="AC36" s="56" t="n">
        <v>33.5562437437437</v>
      </c>
      <c r="AD36" s="56" t="n">
        <v>35.0190067518499</v>
      </c>
      <c r="AE36" s="56" t="n">
        <v>36.481769759956</v>
      </c>
      <c r="AF36" s="56" t="n">
        <v>37.9445327680622</v>
      </c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1"/>
    </row>
    <row r="37" customFormat="false" ht="15" hidden="false" customHeight="false" outlineLevel="0" collapsed="false">
      <c r="A37" s="38" t="s">
        <v>298</v>
      </c>
      <c r="B37" s="51" t="s">
        <v>299</v>
      </c>
      <c r="C37" s="51" t="s">
        <v>300</v>
      </c>
      <c r="D37" s="52" t="s">
        <v>301</v>
      </c>
      <c r="E37" s="52" t="n">
        <v>5000</v>
      </c>
      <c r="F37" s="53" t="n">
        <v>0</v>
      </c>
      <c r="G37" s="54" t="n">
        <v>0</v>
      </c>
      <c r="H37" s="52" t="s">
        <v>152</v>
      </c>
      <c r="I37" s="55" t="n">
        <v>0</v>
      </c>
      <c r="J37" s="54" t="n">
        <v>1.3</v>
      </c>
      <c r="K37" s="56" t="n">
        <v>7.725</v>
      </c>
      <c r="L37" s="56" t="n">
        <v>7.725</v>
      </c>
      <c r="M37" s="56" t="n">
        <v>7.725</v>
      </c>
      <c r="N37" s="56" t="n">
        <v>10.5473413379074</v>
      </c>
      <c r="O37" s="56" t="n">
        <v>14.1647084048028</v>
      </c>
      <c r="P37" s="56" t="n">
        <v>16.9870497427101</v>
      </c>
      <c r="Q37" s="56" t="n">
        <v>19.8093910806175</v>
      </c>
      <c r="R37" s="56" t="n">
        <v>23.6917667238422</v>
      </c>
      <c r="S37" s="56" t="n">
        <v>26.5141080617496</v>
      </c>
      <c r="T37" s="56" t="n">
        <v>29.336449399657</v>
      </c>
      <c r="U37" s="56" t="n">
        <v>32.1587907375643</v>
      </c>
      <c r="V37" s="56" t="n">
        <v>34.9811320754717</v>
      </c>
      <c r="W37" s="56" t="n">
        <v>41.381089193825</v>
      </c>
      <c r="X37" s="56" t="n">
        <v>44.2034305317324</v>
      </c>
      <c r="Y37" s="56" t="n">
        <v>47.0257718696398</v>
      </c>
      <c r="Z37" s="56" t="n">
        <v>49.8481132075472</v>
      </c>
      <c r="AA37" s="56" t="n">
        <v>52.6704545454546</v>
      </c>
      <c r="AB37" s="56" t="n">
        <v>55.4927958833619</v>
      </c>
      <c r="AC37" s="56" t="n">
        <v>58.3151372212693</v>
      </c>
      <c r="AD37" s="56" t="n">
        <v>61.1374785591767</v>
      </c>
      <c r="AE37" s="56" t="n">
        <v>63.9598198970841</v>
      </c>
      <c r="AF37" s="56" t="n">
        <v>66.7821612349914</v>
      </c>
      <c r="AG37" s="56" t="n">
        <v>72.1220840480275</v>
      </c>
      <c r="AH37" s="56" t="n">
        <v>74.9444253859348</v>
      </c>
      <c r="AI37" s="56" t="n">
        <v>77.7667667238422</v>
      </c>
      <c r="AJ37" s="56" t="n">
        <v>80.5891080617496</v>
      </c>
      <c r="AK37" s="56" t="n">
        <v>83.411449399657</v>
      </c>
      <c r="AL37" s="56" t="n">
        <v>86.2337907375643</v>
      </c>
      <c r="AM37" s="56" t="n">
        <v>89.0561320754717</v>
      </c>
      <c r="AN37" s="56" t="n">
        <v>91.8784734133791</v>
      </c>
      <c r="AO37" s="56" t="n">
        <v>94.7008147512864</v>
      </c>
      <c r="AP37" s="56" t="n">
        <v>97.5231560891938</v>
      </c>
      <c r="AQ37" s="51"/>
    </row>
    <row r="38" customFormat="false" ht="15" hidden="false" customHeight="false" outlineLevel="0" collapsed="false">
      <c r="A38" s="38" t="s">
        <v>302</v>
      </c>
      <c r="B38" s="51" t="s">
        <v>303</v>
      </c>
      <c r="C38" s="51" t="s">
        <v>300</v>
      </c>
      <c r="D38" s="52" t="s">
        <v>301</v>
      </c>
      <c r="E38" s="52" t="n">
        <v>5000</v>
      </c>
      <c r="F38" s="53" t="n">
        <v>0</v>
      </c>
      <c r="G38" s="54" t="n">
        <v>0</v>
      </c>
      <c r="H38" s="52" t="s">
        <v>152</v>
      </c>
      <c r="I38" s="55" t="n">
        <v>0</v>
      </c>
      <c r="J38" s="54" t="n">
        <v>1.3</v>
      </c>
      <c r="K38" s="56" t="n">
        <v>8.1</v>
      </c>
      <c r="L38" s="56" t="n">
        <v>8.1</v>
      </c>
      <c r="M38" s="56" t="n">
        <v>8.1</v>
      </c>
      <c r="N38" s="56" t="n">
        <v>10.9145187601958</v>
      </c>
      <c r="O38" s="56" t="n">
        <v>15.3146818923328</v>
      </c>
      <c r="P38" s="56" t="n">
        <v>18.1292006525286</v>
      </c>
      <c r="Q38" s="56" t="n">
        <v>20.9437194127243</v>
      </c>
      <c r="R38" s="56" t="n">
        <v>24.5510603588907</v>
      </c>
      <c r="S38" s="56" t="n">
        <v>27.3655791190865</v>
      </c>
      <c r="T38" s="56" t="n">
        <v>30.1800978792822</v>
      </c>
      <c r="U38" s="56" t="n">
        <v>32.994616639478</v>
      </c>
      <c r="V38" s="56" t="n">
        <v>35.8091353996737</v>
      </c>
      <c r="W38" s="56" t="n">
        <v>41.1342577487765</v>
      </c>
      <c r="X38" s="56" t="n">
        <v>43.9487765089723</v>
      </c>
      <c r="Y38" s="56" t="n">
        <v>46.763295269168</v>
      </c>
      <c r="Z38" s="56" t="n">
        <v>49.5778140293638</v>
      </c>
      <c r="AA38" s="56" t="n">
        <v>52.3923327895596</v>
      </c>
      <c r="AB38" s="56" t="n">
        <v>55.2068515497553</v>
      </c>
      <c r="AC38" s="56" t="n">
        <v>58.0213703099511</v>
      </c>
      <c r="AD38" s="56" t="n">
        <v>60.8358890701468</v>
      </c>
      <c r="AE38" s="56" t="n">
        <v>63.6504078303426</v>
      </c>
      <c r="AF38" s="56" t="n">
        <v>66.4649265905383</v>
      </c>
      <c r="AG38" s="56" t="n">
        <v>72.9792822185971</v>
      </c>
      <c r="AH38" s="56" t="n">
        <v>75.7938009787928</v>
      </c>
      <c r="AI38" s="56" t="n">
        <v>78.6083197389886</v>
      </c>
      <c r="AJ38" s="56" t="n">
        <v>81.4228384991843</v>
      </c>
      <c r="AK38" s="56" t="n">
        <v>84.2373572593801</v>
      </c>
      <c r="AL38" s="56" t="n">
        <v>87.0518760195758</v>
      </c>
      <c r="AM38" s="56" t="n">
        <v>89.8663947797716</v>
      </c>
      <c r="AN38" s="56" t="n">
        <v>92.6809135399674</v>
      </c>
      <c r="AO38" s="56" t="n">
        <v>95.4954323001631</v>
      </c>
      <c r="AP38" s="56" t="n">
        <v>98.3099510603589</v>
      </c>
      <c r="AQ38" s="51"/>
    </row>
    <row r="39" customFormat="false" ht="15" hidden="false" customHeight="false" outlineLevel="0" collapsed="false">
      <c r="A39" s="38" t="s">
        <v>304</v>
      </c>
      <c r="B39" s="51" t="s">
        <v>305</v>
      </c>
      <c r="C39" s="51" t="s">
        <v>300</v>
      </c>
      <c r="D39" s="52" t="s">
        <v>301</v>
      </c>
      <c r="E39" s="52" t="n">
        <v>5000</v>
      </c>
      <c r="F39" s="53" t="n">
        <v>0</v>
      </c>
      <c r="G39" s="54" t="n">
        <v>0</v>
      </c>
      <c r="H39" s="52" t="s">
        <v>152</v>
      </c>
      <c r="I39" s="55" t="n">
        <v>0</v>
      </c>
      <c r="J39" s="54" t="n">
        <v>1.3</v>
      </c>
      <c r="K39" s="56" t="n">
        <v>9.85</v>
      </c>
      <c r="L39" s="56" t="n">
        <v>9.85</v>
      </c>
      <c r="M39" s="56" t="n">
        <v>9.85</v>
      </c>
      <c r="N39" s="56" t="n">
        <v>12.6362549800797</v>
      </c>
      <c r="O39" s="56" t="n">
        <v>16.2073705179283</v>
      </c>
      <c r="P39" s="56" t="n">
        <v>18.993625498008</v>
      </c>
      <c r="Q39" s="56" t="n">
        <v>21.7798804780877</v>
      </c>
      <c r="R39" s="56" t="n">
        <v>26.1358565737052</v>
      </c>
      <c r="S39" s="56" t="n">
        <v>28.9221115537849</v>
      </c>
      <c r="T39" s="56" t="n">
        <v>31.7083665338645</v>
      </c>
      <c r="U39" s="56" t="n">
        <v>34.4946215139442</v>
      </c>
      <c r="V39" s="56" t="n">
        <v>37.2808764940239</v>
      </c>
      <c r="W39" s="56" t="n">
        <v>42.5525232403718</v>
      </c>
      <c r="X39" s="56" t="n">
        <v>45.3387782204515</v>
      </c>
      <c r="Y39" s="56" t="n">
        <v>48.1250332005312</v>
      </c>
      <c r="Z39" s="56" t="n">
        <v>50.9112881806109</v>
      </c>
      <c r="AA39" s="56" t="n">
        <v>53.6975431606906</v>
      </c>
      <c r="AB39" s="56" t="n">
        <v>56.4837981407703</v>
      </c>
      <c r="AC39" s="56" t="n">
        <v>59.2700531208499</v>
      </c>
      <c r="AD39" s="56" t="n">
        <v>62.0563081009296</v>
      </c>
      <c r="AE39" s="56" t="n">
        <v>64.8425630810093</v>
      </c>
      <c r="AF39" s="56" t="n">
        <v>67.628818061089</v>
      </c>
      <c r="AG39" s="56" t="n">
        <v>75.1242363877822</v>
      </c>
      <c r="AH39" s="56" t="n">
        <v>77.9104913678619</v>
      </c>
      <c r="AI39" s="56" t="n">
        <v>80.6967463479416</v>
      </c>
      <c r="AJ39" s="56" t="n">
        <v>83.4830013280213</v>
      </c>
      <c r="AK39" s="56" t="n">
        <v>86.2692563081009</v>
      </c>
      <c r="AL39" s="56" t="n">
        <v>89.0555112881806</v>
      </c>
      <c r="AM39" s="56" t="n">
        <v>91.8417662682603</v>
      </c>
      <c r="AN39" s="56" t="n">
        <v>94.62802124834</v>
      </c>
      <c r="AO39" s="56" t="n">
        <v>97.4142762284196</v>
      </c>
      <c r="AP39" s="56" t="n">
        <v>100.200531208499</v>
      </c>
      <c r="AQ39" s="51"/>
    </row>
    <row r="40" customFormat="false" ht="15" hidden="false" customHeight="false" outlineLevel="0" collapsed="false">
      <c r="A40" s="38" t="s">
        <v>306</v>
      </c>
      <c r="B40" s="51" t="s">
        <v>307</v>
      </c>
      <c r="C40" s="51" t="s">
        <v>308</v>
      </c>
      <c r="D40" s="52" t="s">
        <v>309</v>
      </c>
      <c r="E40" s="52" t="n">
        <v>5000</v>
      </c>
      <c r="F40" s="53" t="n">
        <v>0</v>
      </c>
      <c r="G40" s="54" t="n">
        <v>0</v>
      </c>
      <c r="H40" s="52" t="s">
        <v>157</v>
      </c>
      <c r="I40" s="55" t="n">
        <v>0</v>
      </c>
      <c r="J40" s="54" t="n">
        <v>0</v>
      </c>
      <c r="K40" s="56" t="n">
        <v>7.7</v>
      </c>
      <c r="L40" s="56" t="n">
        <v>7.9625</v>
      </c>
      <c r="M40" s="56" t="n">
        <v>8.5</v>
      </c>
      <c r="N40" s="56" t="n">
        <v>9.5875</v>
      </c>
      <c r="O40" s="56" t="n">
        <v>10.6625</v>
      </c>
      <c r="P40" s="56" t="n">
        <v>11.7375</v>
      </c>
      <c r="Q40" s="56" t="n">
        <v>12.825</v>
      </c>
      <c r="R40" s="56" t="n">
        <v>13.9</v>
      </c>
      <c r="S40" s="56" t="n">
        <v>14.975</v>
      </c>
      <c r="T40" s="56" t="n">
        <v>16.0625</v>
      </c>
      <c r="U40" s="56" t="n">
        <v>17.1375</v>
      </c>
      <c r="V40" s="56" t="n">
        <v>18.225</v>
      </c>
      <c r="W40" s="56" t="n">
        <v>19.3</v>
      </c>
      <c r="X40" s="56" t="n">
        <v>20.375</v>
      </c>
      <c r="Y40" s="56" t="n">
        <v>21.4625</v>
      </c>
      <c r="Z40" s="56" t="n">
        <v>22.5375</v>
      </c>
      <c r="AA40" s="56" t="n">
        <v>23.6125</v>
      </c>
      <c r="AB40" s="56" t="n">
        <v>24.7</v>
      </c>
      <c r="AC40" s="56" t="n">
        <v>25.775</v>
      </c>
      <c r="AD40" s="56" t="n">
        <v>26.85</v>
      </c>
      <c r="AE40" s="56" t="n">
        <v>27.9375</v>
      </c>
      <c r="AF40" s="56" t="n">
        <v>29.0125</v>
      </c>
      <c r="AG40" s="56" t="n">
        <v>8.5</v>
      </c>
      <c r="AH40" s="56" t="n">
        <v>8.5</v>
      </c>
      <c r="AI40" s="56" t="n">
        <v>8.5</v>
      </c>
      <c r="AJ40" s="56" t="n">
        <v>8.5</v>
      </c>
      <c r="AK40" s="56" t="n">
        <v>8.5</v>
      </c>
      <c r="AL40" s="56" t="n">
        <v>8.5</v>
      </c>
      <c r="AM40" s="56" t="n">
        <v>8.5</v>
      </c>
      <c r="AN40" s="56" t="n">
        <v>8.5</v>
      </c>
      <c r="AO40" s="56" t="n">
        <v>8.5</v>
      </c>
      <c r="AP40" s="56" t="n">
        <v>8.5</v>
      </c>
      <c r="AQ40" s="51"/>
    </row>
    <row r="41" customFormat="false" ht="15" hidden="false" customHeight="false" outlineLevel="0" collapsed="false">
      <c r="A41" s="38" t="s">
        <v>310</v>
      </c>
      <c r="B41" s="51" t="s">
        <v>311</v>
      </c>
      <c r="C41" s="51" t="s">
        <v>312</v>
      </c>
      <c r="D41" s="52" t="s">
        <v>313</v>
      </c>
      <c r="E41" s="52" t="n">
        <v>5000</v>
      </c>
      <c r="F41" s="53" t="n">
        <v>0</v>
      </c>
      <c r="G41" s="54" t="n">
        <v>0</v>
      </c>
      <c r="H41" s="52" t="s">
        <v>157</v>
      </c>
      <c r="I41" s="55" t="n">
        <v>0</v>
      </c>
      <c r="J41" s="54" t="n">
        <v>0</v>
      </c>
      <c r="K41" s="56" t="n">
        <v>6.95</v>
      </c>
      <c r="L41" s="56" t="n">
        <v>7.525</v>
      </c>
      <c r="M41" s="56" t="n">
        <v>8.6875</v>
      </c>
      <c r="N41" s="56" t="n">
        <v>11.0125</v>
      </c>
      <c r="O41" s="56" t="n">
        <v>23.275</v>
      </c>
      <c r="P41" s="56" t="n">
        <v>24.325</v>
      </c>
      <c r="Q41" s="56" t="n">
        <v>25.3625</v>
      </c>
      <c r="R41" s="56" t="n">
        <v>31.975</v>
      </c>
      <c r="S41" s="56" t="n">
        <v>33.025</v>
      </c>
      <c r="T41" s="56" t="n">
        <v>34.075</v>
      </c>
      <c r="U41" s="56" t="n">
        <v>35.1125</v>
      </c>
      <c r="V41" s="56" t="n">
        <v>36.1625</v>
      </c>
      <c r="W41" s="56" t="n">
        <v>47.025</v>
      </c>
      <c r="X41" s="56" t="n">
        <v>48.0625</v>
      </c>
      <c r="Y41" s="56" t="n">
        <v>49.1125</v>
      </c>
      <c r="Z41" s="56" t="n">
        <v>50.1625</v>
      </c>
      <c r="AA41" s="56" t="n">
        <v>51.2125</v>
      </c>
      <c r="AB41" s="56" t="n">
        <v>52.2625</v>
      </c>
      <c r="AC41" s="56" t="n">
        <v>53.3125</v>
      </c>
      <c r="AD41" s="56" t="n">
        <v>54.35</v>
      </c>
      <c r="AE41" s="56" t="n">
        <v>55.4</v>
      </c>
      <c r="AF41" s="56" t="n">
        <v>56.45</v>
      </c>
      <c r="AG41" s="56" t="n">
        <v>8.6875</v>
      </c>
      <c r="AH41" s="56" t="n">
        <v>8.6875</v>
      </c>
      <c r="AI41" s="56" t="n">
        <v>8.6875</v>
      </c>
      <c r="AJ41" s="56" t="n">
        <v>8.6875</v>
      </c>
      <c r="AK41" s="56" t="n">
        <v>8.6875</v>
      </c>
      <c r="AL41" s="56" t="n">
        <v>8.6875</v>
      </c>
      <c r="AM41" s="56" t="n">
        <v>8.6875</v>
      </c>
      <c r="AN41" s="56" t="n">
        <v>8.6875</v>
      </c>
      <c r="AO41" s="56" t="n">
        <v>8.6875</v>
      </c>
      <c r="AP41" s="56" t="n">
        <v>8.6875</v>
      </c>
      <c r="AQ41" s="51"/>
    </row>
    <row r="42" customFormat="false" ht="15" hidden="false" customHeight="false" outlineLevel="0" collapsed="false">
      <c r="A42" s="38" t="s">
        <v>314</v>
      </c>
      <c r="B42" s="51" t="s">
        <v>315</v>
      </c>
      <c r="C42" s="51" t="s">
        <v>308</v>
      </c>
      <c r="D42" s="52" t="s">
        <v>309</v>
      </c>
      <c r="E42" s="52" t="n">
        <v>5000</v>
      </c>
      <c r="F42" s="53" t="n">
        <v>0</v>
      </c>
      <c r="G42" s="54" t="n">
        <v>0</v>
      </c>
      <c r="H42" s="52" t="s">
        <v>157</v>
      </c>
      <c r="I42" s="55" t="n">
        <v>0</v>
      </c>
      <c r="J42" s="54" t="n">
        <v>0</v>
      </c>
      <c r="K42" s="56" t="n">
        <v>7.4125</v>
      </c>
      <c r="L42" s="56" t="n">
        <v>7.6875</v>
      </c>
      <c r="M42" s="56" t="n">
        <v>8.225</v>
      </c>
      <c r="N42" s="56" t="n">
        <v>9.3125</v>
      </c>
      <c r="O42" s="56" t="n">
        <v>10.4</v>
      </c>
      <c r="P42" s="56" t="n">
        <v>11.4875</v>
      </c>
      <c r="Q42" s="56" t="n">
        <v>12.5625</v>
      </c>
      <c r="R42" s="56" t="n">
        <v>13.65</v>
      </c>
      <c r="S42" s="56" t="n">
        <v>14.7375</v>
      </c>
      <c r="T42" s="56" t="n">
        <v>15.825</v>
      </c>
      <c r="U42" s="56" t="n">
        <v>16.9125</v>
      </c>
      <c r="V42" s="56" t="n">
        <v>17.9875</v>
      </c>
      <c r="W42" s="56" t="n">
        <v>19.075</v>
      </c>
      <c r="X42" s="56" t="n">
        <v>20.1625</v>
      </c>
      <c r="Y42" s="56" t="n">
        <v>21.25</v>
      </c>
      <c r="Z42" s="56" t="n">
        <v>22.325</v>
      </c>
      <c r="AA42" s="56" t="n">
        <v>23.4125</v>
      </c>
      <c r="AB42" s="56" t="n">
        <v>24.5</v>
      </c>
      <c r="AC42" s="56" t="n">
        <v>25.5875</v>
      </c>
      <c r="AD42" s="56" t="n">
        <v>26.6625</v>
      </c>
      <c r="AE42" s="56" t="n">
        <v>27.75</v>
      </c>
      <c r="AF42" s="56" t="n">
        <v>28.8375</v>
      </c>
      <c r="AG42" s="56" t="n">
        <v>8.225</v>
      </c>
      <c r="AH42" s="56" t="n">
        <v>8.225</v>
      </c>
      <c r="AI42" s="56" t="n">
        <v>8.225</v>
      </c>
      <c r="AJ42" s="56" t="n">
        <v>8.225</v>
      </c>
      <c r="AK42" s="56" t="n">
        <v>8.225</v>
      </c>
      <c r="AL42" s="56" t="n">
        <v>8.225</v>
      </c>
      <c r="AM42" s="56" t="n">
        <v>8.225</v>
      </c>
      <c r="AN42" s="56" t="n">
        <v>8.225</v>
      </c>
      <c r="AO42" s="56" t="n">
        <v>8.225</v>
      </c>
      <c r="AP42" s="56" t="n">
        <v>8.225</v>
      </c>
      <c r="AQ42" s="51"/>
    </row>
    <row r="43" customFormat="false" ht="15" hidden="false" customHeight="false" outlineLevel="0" collapsed="false">
      <c r="A43" s="38" t="s">
        <v>316</v>
      </c>
      <c r="B43" s="51" t="s">
        <v>317</v>
      </c>
      <c r="C43" s="51" t="s">
        <v>308</v>
      </c>
      <c r="D43" s="52" t="s">
        <v>309</v>
      </c>
      <c r="E43" s="52" t="n">
        <v>5000</v>
      </c>
      <c r="F43" s="53" t="n">
        <v>0</v>
      </c>
      <c r="G43" s="54" t="n">
        <v>0</v>
      </c>
      <c r="H43" s="52" t="s">
        <v>157</v>
      </c>
      <c r="I43" s="55" t="n">
        <v>0</v>
      </c>
      <c r="J43" s="54" t="n">
        <v>0</v>
      </c>
      <c r="K43" s="56" t="n">
        <v>4.9</v>
      </c>
      <c r="L43" s="56" t="n">
        <v>5.55</v>
      </c>
      <c r="M43" s="56" t="n">
        <v>6.8625</v>
      </c>
      <c r="N43" s="56" t="n">
        <v>9.5</v>
      </c>
      <c r="O43" s="56" t="n">
        <v>18.35</v>
      </c>
      <c r="P43" s="56" t="n">
        <v>19.425</v>
      </c>
      <c r="Q43" s="56" t="n">
        <v>20.5</v>
      </c>
      <c r="R43" s="56" t="n">
        <v>24.0375</v>
      </c>
      <c r="S43" s="56" t="n">
        <v>25.1125</v>
      </c>
      <c r="T43" s="56" t="n">
        <v>26.1875</v>
      </c>
      <c r="U43" s="56" t="n">
        <v>27.2625</v>
      </c>
      <c r="V43" s="56" t="n">
        <v>28.3375</v>
      </c>
      <c r="W43" s="56" t="n">
        <v>33.7625</v>
      </c>
      <c r="X43" s="56" t="n">
        <v>34.8375</v>
      </c>
      <c r="Y43" s="56" t="n">
        <v>35.9125</v>
      </c>
      <c r="Z43" s="56" t="n">
        <v>36.9875</v>
      </c>
      <c r="AA43" s="56" t="n">
        <v>38.0625</v>
      </c>
      <c r="AB43" s="56" t="n">
        <v>39.1375</v>
      </c>
      <c r="AC43" s="56" t="n">
        <v>40.2125</v>
      </c>
      <c r="AD43" s="56" t="n">
        <v>41.2875</v>
      </c>
      <c r="AE43" s="56" t="n">
        <v>42.3625</v>
      </c>
      <c r="AF43" s="56" t="n">
        <v>43.4375</v>
      </c>
      <c r="AG43" s="56" t="n">
        <v>6.8625</v>
      </c>
      <c r="AH43" s="56" t="n">
        <v>6.8625</v>
      </c>
      <c r="AI43" s="56" t="n">
        <v>6.8625</v>
      </c>
      <c r="AJ43" s="56" t="n">
        <v>6.8625</v>
      </c>
      <c r="AK43" s="56" t="n">
        <v>6.8625</v>
      </c>
      <c r="AL43" s="56" t="n">
        <v>6.8625</v>
      </c>
      <c r="AM43" s="56" t="n">
        <v>6.8625</v>
      </c>
      <c r="AN43" s="56" t="n">
        <v>6.8625</v>
      </c>
      <c r="AO43" s="56" t="n">
        <v>6.8625</v>
      </c>
      <c r="AP43" s="56" t="n">
        <v>6.8625</v>
      </c>
      <c r="AQ43" s="51"/>
    </row>
    <row r="44" customFormat="false" ht="15" hidden="false" customHeight="false" outlineLevel="0" collapsed="false">
      <c r="A44" s="38" t="s">
        <v>318</v>
      </c>
      <c r="B44" s="51" t="s">
        <v>319</v>
      </c>
      <c r="C44" s="51" t="s">
        <v>312</v>
      </c>
      <c r="D44" s="52" t="s">
        <v>313</v>
      </c>
      <c r="E44" s="52" t="n">
        <v>5000</v>
      </c>
      <c r="F44" s="53" t="n">
        <v>0</v>
      </c>
      <c r="G44" s="54" t="n">
        <v>0</v>
      </c>
      <c r="H44" s="52" t="s">
        <v>157</v>
      </c>
      <c r="I44" s="55" t="n">
        <v>0</v>
      </c>
      <c r="J44" s="54" t="n">
        <v>0</v>
      </c>
      <c r="K44" s="56" t="n">
        <v>5.7875</v>
      </c>
      <c r="L44" s="56" t="n">
        <v>6.9</v>
      </c>
      <c r="M44" s="56" t="n">
        <v>9.1125</v>
      </c>
      <c r="N44" s="56" t="n">
        <v>13.5375</v>
      </c>
      <c r="O44" s="56" t="n">
        <v>30.5</v>
      </c>
      <c r="P44" s="56" t="n">
        <v>31.5625</v>
      </c>
      <c r="Q44" s="56" t="n">
        <v>32.625</v>
      </c>
      <c r="R44" s="56" t="n">
        <v>40.35</v>
      </c>
      <c r="S44" s="56" t="n">
        <v>41.4125</v>
      </c>
      <c r="T44" s="56" t="n">
        <v>42.475</v>
      </c>
      <c r="U44" s="56" t="n">
        <v>43.5375</v>
      </c>
      <c r="V44" s="56" t="n">
        <v>44.6</v>
      </c>
      <c r="W44" s="56" t="n">
        <v>57.4125</v>
      </c>
      <c r="X44" s="56" t="n">
        <v>58.475</v>
      </c>
      <c r="Y44" s="56" t="n">
        <v>59.5375</v>
      </c>
      <c r="Z44" s="56" t="n">
        <v>60.6</v>
      </c>
      <c r="AA44" s="56" t="n">
        <v>61.6625</v>
      </c>
      <c r="AB44" s="56" t="n">
        <v>62.725</v>
      </c>
      <c r="AC44" s="56" t="n">
        <v>63.7875</v>
      </c>
      <c r="AD44" s="56" t="n">
        <v>64.85</v>
      </c>
      <c r="AE44" s="56" t="n">
        <v>65.9125</v>
      </c>
      <c r="AF44" s="56" t="n">
        <v>66.975</v>
      </c>
      <c r="AG44" s="56" t="n">
        <v>9.1125</v>
      </c>
      <c r="AH44" s="56" t="n">
        <v>9.1125</v>
      </c>
      <c r="AI44" s="56" t="n">
        <v>9.1125</v>
      </c>
      <c r="AJ44" s="56" t="n">
        <v>9.1125</v>
      </c>
      <c r="AK44" s="56" t="n">
        <v>9.1125</v>
      </c>
      <c r="AL44" s="56" t="n">
        <v>9.1125</v>
      </c>
      <c r="AM44" s="56" t="n">
        <v>9.1125</v>
      </c>
      <c r="AN44" s="56" t="n">
        <v>9.1125</v>
      </c>
      <c r="AO44" s="56" t="n">
        <v>9.1125</v>
      </c>
      <c r="AP44" s="56" t="n">
        <v>9.1125</v>
      </c>
      <c r="AQ44" s="51"/>
    </row>
    <row r="45" customFormat="false" ht="15" hidden="false" customHeight="false" outlineLevel="0" collapsed="false">
      <c r="A45" s="38" t="s">
        <v>320</v>
      </c>
      <c r="B45" s="51" t="s">
        <v>321</v>
      </c>
      <c r="C45" s="51" t="s">
        <v>322</v>
      </c>
      <c r="D45" s="52" t="s">
        <v>313</v>
      </c>
      <c r="E45" s="52" t="n">
        <v>5000</v>
      </c>
      <c r="F45" s="53" t="n">
        <v>0</v>
      </c>
      <c r="G45" s="54" t="n">
        <v>0</v>
      </c>
      <c r="H45" s="52" t="s">
        <v>157</v>
      </c>
      <c r="I45" s="55" t="n">
        <v>0</v>
      </c>
      <c r="J45" s="54" t="n">
        <v>0</v>
      </c>
      <c r="K45" s="56" t="n">
        <v>13.0125</v>
      </c>
      <c r="L45" s="56" t="n">
        <v>13.275</v>
      </c>
      <c r="M45" s="56" t="n">
        <v>13.8</v>
      </c>
      <c r="N45" s="56" t="n">
        <v>14.85</v>
      </c>
      <c r="O45" s="56" t="n">
        <v>18.85</v>
      </c>
      <c r="P45" s="56" t="n">
        <v>19.9</v>
      </c>
      <c r="Q45" s="56" t="n">
        <v>20.9625</v>
      </c>
      <c r="R45" s="56" t="n">
        <v>27.575</v>
      </c>
      <c r="S45" s="56" t="n">
        <v>28.625</v>
      </c>
      <c r="T45" s="56" t="n">
        <v>29.6875</v>
      </c>
      <c r="U45" s="56" t="n">
        <v>30.7375</v>
      </c>
      <c r="V45" s="56" t="n">
        <v>31.7875</v>
      </c>
      <c r="W45" s="56" t="n">
        <v>42.6625</v>
      </c>
      <c r="X45" s="56" t="n">
        <v>43.7125</v>
      </c>
      <c r="Y45" s="56" t="n">
        <v>44.775</v>
      </c>
      <c r="Z45" s="56" t="n">
        <v>45.825</v>
      </c>
      <c r="AA45" s="56" t="n">
        <v>46.875</v>
      </c>
      <c r="AB45" s="56" t="n">
        <v>47.9375</v>
      </c>
      <c r="AC45" s="56" t="n">
        <v>48.9875</v>
      </c>
      <c r="AD45" s="56" t="n">
        <v>50.0375</v>
      </c>
      <c r="AE45" s="56" t="n">
        <v>51.1</v>
      </c>
      <c r="AF45" s="56" t="n">
        <v>52.15</v>
      </c>
      <c r="AG45" s="56" t="n">
        <v>13.8</v>
      </c>
      <c r="AH45" s="56" t="n">
        <v>13.8</v>
      </c>
      <c r="AI45" s="56" t="n">
        <v>13.8</v>
      </c>
      <c r="AJ45" s="56" t="n">
        <v>13.8</v>
      </c>
      <c r="AK45" s="56" t="n">
        <v>13.8</v>
      </c>
      <c r="AL45" s="56" t="n">
        <v>13.8</v>
      </c>
      <c r="AM45" s="56" t="n">
        <v>13.8</v>
      </c>
      <c r="AN45" s="56" t="n">
        <v>13.8</v>
      </c>
      <c r="AO45" s="56" t="n">
        <v>13.8</v>
      </c>
      <c r="AP45" s="56" t="n">
        <v>13.8</v>
      </c>
      <c r="AQ45" s="51"/>
    </row>
    <row r="46" customFormat="false" ht="15" hidden="false" customHeight="false" outlineLevel="0" collapsed="false">
      <c r="A46" s="38" t="s">
        <v>323</v>
      </c>
      <c r="B46" s="51" t="s">
        <v>324</v>
      </c>
      <c r="C46" s="51" t="s">
        <v>325</v>
      </c>
      <c r="D46" s="52" t="s">
        <v>309</v>
      </c>
      <c r="E46" s="52" t="n">
        <v>5000</v>
      </c>
      <c r="F46" s="53" t="n">
        <v>0</v>
      </c>
      <c r="G46" s="54" t="n">
        <v>0</v>
      </c>
      <c r="H46" s="52" t="s">
        <v>157</v>
      </c>
      <c r="I46" s="55" t="n">
        <v>0</v>
      </c>
      <c r="J46" s="54" t="n">
        <v>0</v>
      </c>
      <c r="K46" s="56" t="n">
        <v>6.75</v>
      </c>
      <c r="L46" s="56" t="n">
        <v>7.9125</v>
      </c>
      <c r="M46" s="56" t="n">
        <v>9.1625</v>
      </c>
      <c r="N46" s="56" t="n">
        <v>11.5125</v>
      </c>
      <c r="O46" s="56" t="n">
        <v>13.525</v>
      </c>
      <c r="P46" s="56" t="n">
        <v>15.6125</v>
      </c>
      <c r="Q46" s="56" t="n">
        <v>17.9625</v>
      </c>
      <c r="R46" s="56" t="n">
        <v>20.05</v>
      </c>
      <c r="S46" s="56" t="n">
        <v>21.975</v>
      </c>
      <c r="T46" s="56" t="n">
        <v>24.75</v>
      </c>
      <c r="U46" s="56" t="n">
        <v>26.25</v>
      </c>
      <c r="V46" s="56" t="n">
        <v>27.75</v>
      </c>
      <c r="W46" s="56" t="n">
        <v>32.0375</v>
      </c>
      <c r="X46" s="56" t="n">
        <v>33.4625</v>
      </c>
      <c r="Y46" s="56" t="n">
        <v>34.875</v>
      </c>
      <c r="Z46" s="56" t="n">
        <v>36.3</v>
      </c>
      <c r="AA46" s="56" t="n">
        <v>37.7125</v>
      </c>
      <c r="AB46" s="56" t="n">
        <v>46.425</v>
      </c>
      <c r="AC46" s="56" t="n">
        <v>47.85</v>
      </c>
      <c r="AD46" s="56" t="n">
        <v>49.2625</v>
      </c>
      <c r="AE46" s="56" t="n">
        <v>50.6875</v>
      </c>
      <c r="AF46" s="56" t="n">
        <v>52.1125</v>
      </c>
      <c r="AG46" s="56" t="n">
        <v>9.1625</v>
      </c>
      <c r="AH46" s="56" t="n">
        <v>9.1625</v>
      </c>
      <c r="AI46" s="56" t="n">
        <v>9.1625</v>
      </c>
      <c r="AJ46" s="56" t="n">
        <v>9.1625</v>
      </c>
      <c r="AK46" s="56" t="n">
        <v>9.1625</v>
      </c>
      <c r="AL46" s="56" t="n">
        <v>9.1625</v>
      </c>
      <c r="AM46" s="56" t="n">
        <v>9.1625</v>
      </c>
      <c r="AN46" s="56" t="n">
        <v>9.1625</v>
      </c>
      <c r="AO46" s="56" t="n">
        <v>9.1625</v>
      </c>
      <c r="AP46" s="56" t="n">
        <v>9.1625</v>
      </c>
      <c r="AQ46" s="51"/>
    </row>
    <row r="47" customFormat="false" ht="15" hidden="false" customHeight="false" outlineLevel="0" collapsed="false">
      <c r="A47" s="38" t="s">
        <v>326</v>
      </c>
      <c r="B47" s="51" t="s">
        <v>327</v>
      </c>
      <c r="C47" s="51" t="s">
        <v>328</v>
      </c>
      <c r="D47" s="52" t="s">
        <v>313</v>
      </c>
      <c r="E47" s="52" t="n">
        <v>5000</v>
      </c>
      <c r="F47" s="53" t="n">
        <v>0</v>
      </c>
      <c r="G47" s="54" t="n">
        <v>0</v>
      </c>
      <c r="H47" s="52" t="s">
        <v>157</v>
      </c>
      <c r="I47" s="55" t="n">
        <v>0</v>
      </c>
      <c r="J47" s="54" t="n">
        <v>0</v>
      </c>
      <c r="K47" s="56" t="n">
        <v>7.325</v>
      </c>
      <c r="L47" s="56" t="n">
        <v>9.45</v>
      </c>
      <c r="M47" s="56" t="n">
        <v>13.7</v>
      </c>
      <c r="N47" s="56" t="n">
        <v>22.1875</v>
      </c>
      <c r="O47" s="56" t="n">
        <v>26.0625</v>
      </c>
      <c r="P47" s="56" t="n">
        <v>30.5375</v>
      </c>
      <c r="Q47" s="56" t="n">
        <v>35.025</v>
      </c>
      <c r="R47" s="56" t="n">
        <v>39.5125</v>
      </c>
      <c r="S47" s="56" t="n">
        <v>43.9875</v>
      </c>
      <c r="T47" s="56" t="n">
        <v>48.475</v>
      </c>
      <c r="U47" s="56" t="n">
        <v>52.9625</v>
      </c>
      <c r="V47" s="56" t="n">
        <v>57.4375</v>
      </c>
      <c r="W47" s="56" t="n">
        <v>61.925</v>
      </c>
      <c r="X47" s="56" t="n">
        <v>66.4125</v>
      </c>
      <c r="Y47" s="56" t="n">
        <v>70.9</v>
      </c>
      <c r="Z47" s="56" t="n">
        <v>75.375</v>
      </c>
      <c r="AA47" s="56" t="n">
        <v>79.8625</v>
      </c>
      <c r="AB47" s="56" t="n">
        <v>84.35</v>
      </c>
      <c r="AC47" s="56" t="n">
        <v>88.825</v>
      </c>
      <c r="AD47" s="56" t="n">
        <v>93.3125</v>
      </c>
      <c r="AE47" s="56" t="n">
        <v>97.8</v>
      </c>
      <c r="AF47" s="56" t="n">
        <v>102.2875</v>
      </c>
      <c r="AG47" s="56" t="n">
        <v>13.7</v>
      </c>
      <c r="AH47" s="56" t="n">
        <v>13.7</v>
      </c>
      <c r="AI47" s="56" t="n">
        <v>13.7</v>
      </c>
      <c r="AJ47" s="56" t="n">
        <v>13.7</v>
      </c>
      <c r="AK47" s="56" t="n">
        <v>13.7</v>
      </c>
      <c r="AL47" s="56" t="n">
        <v>13.7</v>
      </c>
      <c r="AM47" s="56" t="n">
        <v>13.7</v>
      </c>
      <c r="AN47" s="56" t="n">
        <v>13.7</v>
      </c>
      <c r="AO47" s="56" t="n">
        <v>13.7</v>
      </c>
      <c r="AP47" s="56" t="n">
        <v>13.7</v>
      </c>
      <c r="AQ47" s="51"/>
    </row>
    <row r="48" customFormat="false" ht="15" hidden="false" customHeight="false" outlineLevel="0" collapsed="false">
      <c r="A48" s="38" t="s">
        <v>329</v>
      </c>
      <c r="B48" s="51" t="s">
        <v>330</v>
      </c>
      <c r="C48" s="51" t="s">
        <v>331</v>
      </c>
      <c r="D48" s="52" t="s">
        <v>332</v>
      </c>
      <c r="E48" s="52" t="n">
        <v>5000</v>
      </c>
      <c r="F48" s="53" t="n">
        <v>0</v>
      </c>
      <c r="G48" s="54" t="n">
        <v>0</v>
      </c>
      <c r="H48" s="52" t="s">
        <v>157</v>
      </c>
      <c r="I48" s="55" t="n">
        <v>0</v>
      </c>
      <c r="J48" s="54" t="n">
        <v>0</v>
      </c>
      <c r="K48" s="56" t="n">
        <v>6.5625</v>
      </c>
      <c r="L48" s="56" t="n">
        <v>7.3</v>
      </c>
      <c r="M48" s="56" t="n">
        <v>8.7625</v>
      </c>
      <c r="N48" s="56" t="n">
        <v>12.15</v>
      </c>
      <c r="O48" s="56" t="n">
        <v>15.4375</v>
      </c>
      <c r="P48" s="56" t="n">
        <v>18.7125</v>
      </c>
      <c r="Q48" s="56" t="n">
        <v>22</v>
      </c>
      <c r="R48" s="56" t="n">
        <v>26.775</v>
      </c>
      <c r="S48" s="56" t="n">
        <v>29.7</v>
      </c>
      <c r="T48" s="56" t="n">
        <v>32.625</v>
      </c>
      <c r="U48" s="56" t="n">
        <v>35.5375</v>
      </c>
      <c r="V48" s="56" t="n">
        <v>38.4625</v>
      </c>
      <c r="W48" s="56" t="n">
        <v>43.75</v>
      </c>
      <c r="X48" s="56" t="n">
        <v>46.6625</v>
      </c>
      <c r="Y48" s="56" t="n">
        <v>49.5875</v>
      </c>
      <c r="Z48" s="56" t="n">
        <v>52.5125</v>
      </c>
      <c r="AA48" s="56" t="n">
        <v>55.425</v>
      </c>
      <c r="AB48" s="56" t="n">
        <v>60.95</v>
      </c>
      <c r="AC48" s="56" t="n">
        <v>63.875</v>
      </c>
      <c r="AD48" s="56" t="n">
        <v>66.7875</v>
      </c>
      <c r="AE48" s="56" t="n">
        <v>69.7125</v>
      </c>
      <c r="AF48" s="56" t="n">
        <v>72.6375</v>
      </c>
      <c r="AG48" s="56" t="n">
        <v>8.7625</v>
      </c>
      <c r="AH48" s="56" t="n">
        <v>8.7625</v>
      </c>
      <c r="AI48" s="56" t="n">
        <v>8.7625</v>
      </c>
      <c r="AJ48" s="56" t="n">
        <v>8.7625</v>
      </c>
      <c r="AK48" s="56" t="n">
        <v>8.7625</v>
      </c>
      <c r="AL48" s="56" t="n">
        <v>8.7625</v>
      </c>
      <c r="AM48" s="56" t="n">
        <v>8.7625</v>
      </c>
      <c r="AN48" s="56" t="n">
        <v>8.7625</v>
      </c>
      <c r="AO48" s="56" t="n">
        <v>8.7625</v>
      </c>
      <c r="AP48" s="56" t="n">
        <v>8.7625</v>
      </c>
      <c r="AQ48" s="51"/>
    </row>
    <row r="49" customFormat="false" ht="15" hidden="false" customHeight="false" outlineLevel="0" collapsed="false">
      <c r="A49" s="38" t="s">
        <v>333</v>
      </c>
      <c r="B49" s="51" t="s">
        <v>334</v>
      </c>
      <c r="C49" s="51" t="s">
        <v>331</v>
      </c>
      <c r="D49" s="52" t="s">
        <v>332</v>
      </c>
      <c r="E49" s="52" t="n">
        <v>5000</v>
      </c>
      <c r="F49" s="53" t="n">
        <v>0</v>
      </c>
      <c r="G49" s="54" t="n">
        <v>0</v>
      </c>
      <c r="H49" s="52" t="s">
        <v>157</v>
      </c>
      <c r="I49" s="55" t="n">
        <v>0</v>
      </c>
      <c r="J49" s="54" t="n">
        <v>0</v>
      </c>
      <c r="K49" s="56" t="n">
        <v>7.05</v>
      </c>
      <c r="L49" s="56" t="n">
        <v>7.775</v>
      </c>
      <c r="M49" s="56" t="n">
        <v>9.2375</v>
      </c>
      <c r="N49" s="56" t="n">
        <v>12.7375</v>
      </c>
      <c r="O49" s="56" t="n">
        <v>16.225</v>
      </c>
      <c r="P49" s="56" t="n">
        <v>19.725</v>
      </c>
      <c r="Q49" s="56" t="n">
        <v>23.2125</v>
      </c>
      <c r="R49" s="56" t="n">
        <v>28.8625</v>
      </c>
      <c r="S49" s="56" t="n">
        <v>31.775</v>
      </c>
      <c r="T49" s="56" t="n">
        <v>34.6875</v>
      </c>
      <c r="U49" s="56" t="n">
        <v>37.5875</v>
      </c>
      <c r="V49" s="56" t="n">
        <v>40.5</v>
      </c>
      <c r="W49" s="56" t="n">
        <v>46.9375</v>
      </c>
      <c r="X49" s="56" t="n">
        <v>49.8375</v>
      </c>
      <c r="Y49" s="56" t="n">
        <v>52.75</v>
      </c>
      <c r="Z49" s="56" t="n">
        <v>55.65</v>
      </c>
      <c r="AA49" s="56" t="n">
        <v>58.5625</v>
      </c>
      <c r="AB49" s="56" t="n">
        <v>65.2375</v>
      </c>
      <c r="AC49" s="56" t="n">
        <v>68.1375</v>
      </c>
      <c r="AD49" s="56" t="n">
        <v>71.05</v>
      </c>
      <c r="AE49" s="56" t="n">
        <v>73.95</v>
      </c>
      <c r="AF49" s="56" t="n">
        <v>76.8625</v>
      </c>
      <c r="AG49" s="56" t="n">
        <v>9.2375</v>
      </c>
      <c r="AH49" s="56" t="n">
        <v>9.2375</v>
      </c>
      <c r="AI49" s="56" t="n">
        <v>9.2375</v>
      </c>
      <c r="AJ49" s="56" t="n">
        <v>9.2375</v>
      </c>
      <c r="AK49" s="56" t="n">
        <v>9.2375</v>
      </c>
      <c r="AL49" s="56" t="n">
        <v>9.2375</v>
      </c>
      <c r="AM49" s="56" t="n">
        <v>9.2375</v>
      </c>
      <c r="AN49" s="56" t="n">
        <v>9.2375</v>
      </c>
      <c r="AO49" s="56" t="n">
        <v>9.2375</v>
      </c>
      <c r="AP49" s="56" t="n">
        <v>9.2375</v>
      </c>
      <c r="AQ49" s="51"/>
    </row>
    <row r="50" customFormat="false" ht="15" hidden="false" customHeight="false" outlineLevel="0" collapsed="false">
      <c r="A50" s="38" t="s">
        <v>335</v>
      </c>
      <c r="B50" s="51" t="s">
        <v>336</v>
      </c>
      <c r="C50" s="51" t="s">
        <v>337</v>
      </c>
      <c r="D50" s="52" t="s">
        <v>313</v>
      </c>
      <c r="E50" s="52" t="n">
        <v>5000</v>
      </c>
      <c r="F50" s="53" t="n">
        <v>0</v>
      </c>
      <c r="G50" s="54" t="n">
        <v>0</v>
      </c>
      <c r="H50" s="52" t="s">
        <v>157</v>
      </c>
      <c r="I50" s="55" t="n">
        <v>0</v>
      </c>
      <c r="J50" s="54" t="n">
        <v>0</v>
      </c>
      <c r="K50" s="56" t="n">
        <v>6.2125</v>
      </c>
      <c r="L50" s="56" t="n">
        <v>6.8625</v>
      </c>
      <c r="M50" s="56" t="n">
        <v>8.15</v>
      </c>
      <c r="N50" s="56" t="n">
        <v>10.7375</v>
      </c>
      <c r="O50" s="56" t="n">
        <v>13.3375</v>
      </c>
      <c r="P50" s="56" t="n">
        <v>15.925</v>
      </c>
      <c r="Q50" s="56" t="n">
        <v>18.5125</v>
      </c>
      <c r="R50" s="56" t="n">
        <v>21.1</v>
      </c>
      <c r="S50" s="56" t="n">
        <v>27.0875</v>
      </c>
      <c r="T50" s="56" t="n">
        <v>28.15</v>
      </c>
      <c r="U50" s="56" t="n">
        <v>29.2</v>
      </c>
      <c r="V50" s="56" t="n">
        <v>30.25</v>
      </c>
      <c r="W50" s="56" t="n">
        <v>38.1375</v>
      </c>
      <c r="X50" s="56" t="n">
        <v>39.1875</v>
      </c>
      <c r="Y50" s="56" t="n">
        <v>40.2375</v>
      </c>
      <c r="Z50" s="56" t="n">
        <v>41.2875</v>
      </c>
      <c r="AA50" s="56" t="n">
        <v>42.3375</v>
      </c>
      <c r="AB50" s="56" t="n">
        <v>43.4</v>
      </c>
      <c r="AC50" s="56" t="n">
        <v>44.45</v>
      </c>
      <c r="AD50" s="56" t="n">
        <v>45.5</v>
      </c>
      <c r="AE50" s="56" t="n">
        <v>46.55</v>
      </c>
      <c r="AF50" s="56" t="n">
        <v>47.6</v>
      </c>
      <c r="AG50" s="56" t="n">
        <v>8.15</v>
      </c>
      <c r="AH50" s="56" t="n">
        <v>8.15</v>
      </c>
      <c r="AI50" s="56" t="n">
        <v>8.15</v>
      </c>
      <c r="AJ50" s="56" t="n">
        <v>8.15</v>
      </c>
      <c r="AK50" s="56" t="n">
        <v>8.15</v>
      </c>
      <c r="AL50" s="56" t="n">
        <v>8.15</v>
      </c>
      <c r="AM50" s="56" t="n">
        <v>8.15</v>
      </c>
      <c r="AN50" s="56" t="n">
        <v>8.15</v>
      </c>
      <c r="AO50" s="56" t="n">
        <v>8.15</v>
      </c>
      <c r="AP50" s="56" t="n">
        <v>8.15</v>
      </c>
      <c r="AQ50" s="51"/>
    </row>
  </sheetData>
  <mergeCells count="1"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1"/>
  </cols>
  <sheetData>
    <row r="1" customFormat="false" ht="17.35" hidden="false" customHeight="false" outlineLevel="0" collapsed="false">
      <c r="A1" s="1" t="s">
        <v>338</v>
      </c>
    </row>
    <row r="2" customFormat="false" ht="30" hidden="false" customHeight="true" outlineLevel="0" collapsed="false">
      <c r="A2" s="48" t="s">
        <v>339</v>
      </c>
      <c r="B2" s="48"/>
      <c r="C2" s="48"/>
      <c r="D2" s="48"/>
      <c r="E2" s="48"/>
    </row>
    <row r="4" customFormat="false" ht="30" hidden="false" customHeight="true" outlineLevel="0" collapsed="false">
      <c r="A4" s="49" t="s">
        <v>201</v>
      </c>
      <c r="B4" s="49" t="s">
        <v>340</v>
      </c>
      <c r="C4" s="49" t="s">
        <v>341</v>
      </c>
      <c r="D4" s="49" t="s">
        <v>342</v>
      </c>
      <c r="E4" s="49" t="s">
        <v>343</v>
      </c>
    </row>
    <row r="5" customFormat="false" ht="15" hidden="false" customHeight="false" outlineLevel="0" collapsed="false">
      <c r="A5" s="38" t="s">
        <v>212</v>
      </c>
      <c r="B5" s="53" t="n">
        <v>0.21</v>
      </c>
      <c r="C5" s="57"/>
      <c r="D5" s="41" t="s">
        <v>344</v>
      </c>
      <c r="E5" s="58" t="n">
        <f aca="false">IF(ISNUMBER(C5),C5,B5)</f>
        <v>0.21</v>
      </c>
    </row>
    <row r="6" customFormat="false" ht="15" hidden="false" customHeight="false" outlineLevel="0" collapsed="false">
      <c r="A6" s="38" t="s">
        <v>221</v>
      </c>
      <c r="B6" s="53" t="n">
        <v>0.2</v>
      </c>
      <c r="C6" s="57"/>
      <c r="D6" s="41"/>
      <c r="E6" s="58" t="n">
        <f aca="false">IF(ISNUMBER(C6),C6,B6)</f>
        <v>0.2</v>
      </c>
    </row>
    <row r="7" customFormat="false" ht="15" hidden="false" customHeight="false" outlineLevel="0" collapsed="false">
      <c r="A7" s="38" t="s">
        <v>229</v>
      </c>
      <c r="B7" s="53" t="n">
        <v>0.24</v>
      </c>
      <c r="C7" s="57"/>
      <c r="D7" s="41"/>
      <c r="E7" s="58" t="n">
        <f aca="false">IF(ISNUMBER(C7),C7,B7)</f>
        <v>0.24</v>
      </c>
    </row>
    <row r="8" customFormat="false" ht="15" hidden="false" customHeight="false" outlineLevel="0" collapsed="false">
      <c r="A8" s="38" t="s">
        <v>237</v>
      </c>
      <c r="B8" s="53" t="n">
        <v>0.19</v>
      </c>
      <c r="C8" s="57"/>
      <c r="D8" s="41"/>
      <c r="E8" s="58" t="n">
        <f aca="false">IF(ISNUMBER(C8),C8,B8)</f>
        <v>0.19</v>
      </c>
    </row>
    <row r="9" customFormat="false" ht="15" hidden="false" customHeight="false" outlineLevel="0" collapsed="false">
      <c r="A9" s="38" t="s">
        <v>240</v>
      </c>
      <c r="B9" s="53" t="n">
        <v>0.27</v>
      </c>
      <c r="C9" s="57"/>
      <c r="D9" s="41"/>
      <c r="E9" s="58" t="n">
        <f aca="false">IF(ISNUMBER(C9),C9,B9)</f>
        <v>0.27</v>
      </c>
    </row>
    <row r="10" customFormat="false" ht="15" hidden="false" customHeight="false" outlineLevel="0" collapsed="false">
      <c r="A10" s="38" t="s">
        <v>252</v>
      </c>
      <c r="B10" s="53" t="n">
        <v>0.23</v>
      </c>
      <c r="C10" s="57"/>
      <c r="D10" s="41"/>
      <c r="E10" s="58" t="n">
        <f aca="false">IF(ISNUMBER(C10),C10,B10)</f>
        <v>0.23</v>
      </c>
    </row>
    <row r="11" customFormat="false" ht="15" hidden="false" customHeight="false" outlineLevel="0" collapsed="false">
      <c r="A11" s="38" t="s">
        <v>258</v>
      </c>
      <c r="B11" s="53" t="n">
        <v>0.21</v>
      </c>
      <c r="C11" s="57"/>
      <c r="D11" s="41"/>
      <c r="E11" s="58" t="n">
        <f aca="false">IF(ISNUMBER(C11),C11,B11)</f>
        <v>0.21</v>
      </c>
    </row>
    <row r="12" customFormat="false" ht="15" hidden="false" customHeight="false" outlineLevel="0" collapsed="false">
      <c r="A12" s="38" t="s">
        <v>263</v>
      </c>
      <c r="B12" s="53" t="n">
        <v>0.23</v>
      </c>
      <c r="C12" s="57"/>
      <c r="D12" s="41" t="s">
        <v>345</v>
      </c>
      <c r="E12" s="58" t="n">
        <f aca="false">IF(ISNUMBER(C12),C12,B12)</f>
        <v>0.23</v>
      </c>
    </row>
    <row r="13" customFormat="false" ht="15" hidden="false" customHeight="false" outlineLevel="0" collapsed="false">
      <c r="A13" s="38" t="s">
        <v>271</v>
      </c>
      <c r="B13" s="53" t="n">
        <v>0.25</v>
      </c>
      <c r="C13" s="57"/>
      <c r="D13" s="41"/>
      <c r="E13" s="58" t="n">
        <f aca="false">IF(ISNUMBER(C13),C13,B13)</f>
        <v>0.25</v>
      </c>
    </row>
    <row r="14" customFormat="false" ht="15" hidden="false" customHeight="false" outlineLevel="0" collapsed="false">
      <c r="A14" s="38" t="s">
        <v>282</v>
      </c>
      <c r="B14" s="53" t="n">
        <v>0.22</v>
      </c>
      <c r="C14" s="57"/>
      <c r="D14" s="41"/>
      <c r="E14" s="58" t="n">
        <f aca="false">IF(ISNUMBER(C14),C14,B14)</f>
        <v>0.22</v>
      </c>
    </row>
    <row r="15" customFormat="false" ht="15" hidden="false" customHeight="false" outlineLevel="0" collapsed="false">
      <c r="A15" s="38" t="s">
        <v>287</v>
      </c>
      <c r="B15" s="53" t="n">
        <v>0.22</v>
      </c>
      <c r="C15" s="57"/>
      <c r="D15" s="41"/>
      <c r="E15" s="58" t="n">
        <f aca="false">IF(ISNUMBER(C15),C15,B15)</f>
        <v>0.22</v>
      </c>
    </row>
    <row r="16" customFormat="false" ht="15" hidden="false" customHeight="false" outlineLevel="0" collapsed="false">
      <c r="A16" s="38" t="s">
        <v>292</v>
      </c>
      <c r="B16" s="53" t="n">
        <v>0.2</v>
      </c>
      <c r="C16" s="57"/>
      <c r="D16" s="41"/>
      <c r="E16" s="58" t="n">
        <f aca="false">IF(ISNUMBER(C16),C16,B16)</f>
        <v>0.2</v>
      </c>
    </row>
    <row r="17" customFormat="false" ht="15" hidden="false" customHeight="false" outlineLevel="0" collapsed="false">
      <c r="A17" s="38" t="s">
        <v>296</v>
      </c>
      <c r="B17" s="53" t="n">
        <v>0.19</v>
      </c>
      <c r="C17" s="57"/>
      <c r="D17" s="41"/>
      <c r="E17" s="58" t="n">
        <f aca="false">IF(ISNUMBER(C17),C17,B17)</f>
        <v>0.19</v>
      </c>
    </row>
    <row r="18" customFormat="false" ht="15" hidden="false" customHeight="false" outlineLevel="0" collapsed="false">
      <c r="A18" s="38" t="s">
        <v>299</v>
      </c>
      <c r="B18" s="53" t="n">
        <v>0.21</v>
      </c>
      <c r="C18" s="57"/>
      <c r="D18" s="41"/>
      <c r="E18" s="58" t="n">
        <f aca="false">IF(ISNUMBER(C18),C18,B18)</f>
        <v>0.21</v>
      </c>
    </row>
    <row r="19" customFormat="false" ht="15" hidden="false" customHeight="false" outlineLevel="0" collapsed="false">
      <c r="A19" s="38" t="s">
        <v>303</v>
      </c>
      <c r="B19" s="53" t="n">
        <v>0.21</v>
      </c>
      <c r="C19" s="57"/>
      <c r="D19" s="41"/>
      <c r="E19" s="58" t="n">
        <f aca="false">IF(ISNUMBER(C19),C19,B19)</f>
        <v>0.21</v>
      </c>
    </row>
    <row r="20" customFormat="false" ht="15" hidden="false" customHeight="false" outlineLevel="0" collapsed="false">
      <c r="A20" s="38" t="s">
        <v>305</v>
      </c>
      <c r="B20" s="53" t="n">
        <v>0.24</v>
      </c>
      <c r="C20" s="57"/>
      <c r="D20" s="41" t="s">
        <v>346</v>
      </c>
      <c r="E20" s="58" t="n">
        <f aca="false">IF(ISNUMBER(C20),C20,B20)</f>
        <v>0.24</v>
      </c>
    </row>
    <row r="21" customFormat="false" ht="15" hidden="false" customHeight="false" outlineLevel="0" collapsed="false">
      <c r="A21" s="38" t="s">
        <v>307</v>
      </c>
      <c r="B21" s="53" t="n">
        <v>0.21</v>
      </c>
      <c r="C21" s="57"/>
      <c r="D21" s="41"/>
      <c r="E21" s="58" t="n">
        <f aca="false">IF(ISNUMBER(C21),C21,B21)</f>
        <v>0.21</v>
      </c>
    </row>
    <row r="22" customFormat="false" ht="15" hidden="false" customHeight="false" outlineLevel="0" collapsed="false">
      <c r="A22" s="38" t="s">
        <v>311</v>
      </c>
      <c r="B22" s="53" t="n">
        <v>0.25</v>
      </c>
      <c r="C22" s="57"/>
      <c r="D22" s="41"/>
      <c r="E22" s="58" t="n">
        <f aca="false">IF(ISNUMBER(C22),C22,B22)</f>
        <v>0.25</v>
      </c>
    </row>
    <row r="23" customFormat="false" ht="15" hidden="false" customHeight="false" outlineLevel="0" collapsed="false">
      <c r="A23" s="38" t="s">
        <v>315</v>
      </c>
      <c r="B23" s="53" t="n">
        <v>0.21</v>
      </c>
      <c r="C23" s="57"/>
      <c r="D23" s="41"/>
      <c r="E23" s="58" t="n">
        <f aca="false">IF(ISNUMBER(C23),C23,B23)</f>
        <v>0.21</v>
      </c>
    </row>
    <row r="24" customFormat="false" ht="15" hidden="false" customHeight="false" outlineLevel="0" collapsed="false">
      <c r="A24" s="38" t="s">
        <v>317</v>
      </c>
      <c r="B24" s="53" t="n">
        <v>0.17</v>
      </c>
      <c r="C24" s="57"/>
      <c r="D24" s="41"/>
      <c r="E24" s="58" t="n">
        <f aca="false">IF(ISNUMBER(C24),C24,B24)</f>
        <v>0.17</v>
      </c>
    </row>
    <row r="25" customFormat="false" ht="15" hidden="false" customHeight="false" outlineLevel="0" collapsed="false">
      <c r="A25" s="38" t="s">
        <v>319</v>
      </c>
      <c r="B25" s="53" t="n">
        <v>0.25</v>
      </c>
      <c r="C25" s="57"/>
      <c r="D25" s="41"/>
      <c r="E25" s="58" t="n">
        <f aca="false">IF(ISNUMBER(C25),C25,B25)</f>
        <v>0.25</v>
      </c>
    </row>
    <row r="26" customFormat="false" ht="15" hidden="false" customHeight="false" outlineLevel="0" collapsed="false">
      <c r="A26" s="38" t="s">
        <v>321</v>
      </c>
      <c r="B26" s="53" t="n">
        <v>0.255</v>
      </c>
      <c r="C26" s="57"/>
      <c r="D26" s="41" t="s">
        <v>347</v>
      </c>
      <c r="E26" s="58" t="n">
        <f aca="false">IF(ISNUMBER(C26),C26,B26)</f>
        <v>0.255</v>
      </c>
    </row>
    <row r="27" customFormat="false" ht="15" hidden="false" customHeight="false" outlineLevel="0" collapsed="false">
      <c r="A27" s="38" t="s">
        <v>324</v>
      </c>
      <c r="B27" s="53" t="n">
        <v>0.2</v>
      </c>
      <c r="C27" s="57"/>
      <c r="D27" s="41"/>
      <c r="E27" s="58" t="n">
        <f aca="false">IF(ISNUMBER(C27),C27,B27)</f>
        <v>0.2</v>
      </c>
    </row>
    <row r="28" customFormat="false" ht="15" hidden="false" customHeight="false" outlineLevel="0" collapsed="false">
      <c r="A28" s="38" t="s">
        <v>327</v>
      </c>
      <c r="B28" s="53" t="n">
        <v>0.18</v>
      </c>
      <c r="C28" s="57"/>
      <c r="D28" s="41"/>
      <c r="E28" s="58" t="n">
        <f aca="false">IF(ISNUMBER(C28),C28,B28)</f>
        <v>0.18</v>
      </c>
    </row>
    <row r="29" customFormat="false" ht="15" hidden="false" customHeight="false" outlineLevel="0" collapsed="false">
      <c r="A29" s="38" t="s">
        <v>330</v>
      </c>
      <c r="B29" s="53" t="n">
        <v>0.21</v>
      </c>
      <c r="C29" s="57"/>
      <c r="D29" s="41"/>
      <c r="E29" s="58" t="n">
        <f aca="false">IF(ISNUMBER(C29),C29,B29)</f>
        <v>0.21</v>
      </c>
    </row>
    <row r="30" customFormat="false" ht="15" hidden="false" customHeight="false" outlineLevel="0" collapsed="false">
      <c r="A30" s="38" t="s">
        <v>334</v>
      </c>
      <c r="B30" s="53" t="n">
        <v>0.23</v>
      </c>
      <c r="C30" s="57"/>
      <c r="D30" s="41" t="s">
        <v>348</v>
      </c>
      <c r="E30" s="58" t="n">
        <f aca="false">IF(ISNUMBER(C30),C30,B30)</f>
        <v>0.23</v>
      </c>
    </row>
    <row r="31" customFormat="false" ht="15" hidden="false" customHeight="false" outlineLevel="0" collapsed="false">
      <c r="A31" s="38" t="s">
        <v>336</v>
      </c>
      <c r="B31" s="53" t="n">
        <v>0.23</v>
      </c>
      <c r="C31" s="57"/>
      <c r="D31" s="41"/>
      <c r="E31" s="58" t="n">
        <f aca="false">IF(ISNUMBER(C31),C31,B31)</f>
        <v>0.23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B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2" customFormat="false" ht="17.35" hidden="false" customHeight="false" outlineLevel="0" collapsed="false">
      <c r="B2" s="59" t="s">
        <v>349</v>
      </c>
    </row>
    <row r="3" customFormat="false" ht="15" hidden="false" customHeight="false" outlineLevel="0" collapsed="false">
      <c r="B3" s="60" t="s">
        <v>350</v>
      </c>
    </row>
    <row r="4" customFormat="false" ht="15" hidden="false" customHeight="false" outlineLevel="0" collapsed="false">
      <c r="B4" s="60" t="s">
        <v>351</v>
      </c>
    </row>
    <row r="5" customFormat="false" ht="15" hidden="false" customHeight="false" outlineLevel="0" collapsed="false">
      <c r="B5" s="60" t="s">
        <v>352</v>
      </c>
    </row>
    <row r="6" customFormat="false" ht="15" hidden="false" customHeight="false" outlineLevel="0" collapsed="false">
      <c r="B6" s="60"/>
    </row>
    <row r="7" customFormat="false" ht="15" hidden="false" customHeight="false" outlineLevel="0" collapsed="false">
      <c r="B7" s="61" t="s">
        <v>353</v>
      </c>
    </row>
    <row r="8" customFormat="false" ht="15" hidden="false" customHeight="false" outlineLevel="0" collapsed="false">
      <c r="B8" s="60" t="s">
        <v>354</v>
      </c>
    </row>
    <row r="9" customFormat="false" ht="15" hidden="false" customHeight="false" outlineLevel="0" collapsed="false">
      <c r="B9" s="60" t="s">
        <v>355</v>
      </c>
    </row>
    <row r="10" customFormat="false" ht="15" hidden="false" customHeight="false" outlineLevel="0" collapsed="false">
      <c r="B10" s="60" t="s">
        <v>356</v>
      </c>
    </row>
    <row r="11" customFormat="false" ht="15" hidden="false" customHeight="false" outlineLevel="0" collapsed="false">
      <c r="B11" s="60"/>
    </row>
    <row r="12" customFormat="false" ht="15" hidden="false" customHeight="false" outlineLevel="0" collapsed="false">
      <c r="B12" s="61" t="s">
        <v>357</v>
      </c>
    </row>
    <row r="13" customFormat="false" ht="15" hidden="false" customHeight="false" outlineLevel="0" collapsed="false">
      <c r="B13" s="60" t="s">
        <v>358</v>
      </c>
    </row>
    <row r="14" customFormat="false" ht="15" hidden="false" customHeight="false" outlineLevel="0" collapsed="false">
      <c r="B14" s="60" t="s">
        <v>359</v>
      </c>
    </row>
    <row r="15" customFormat="false" ht="15" hidden="false" customHeight="false" outlineLevel="0" collapsed="false">
      <c r="B15" s="60" t="s">
        <v>360</v>
      </c>
    </row>
    <row r="16" customFormat="false" ht="15" hidden="false" customHeight="false" outlineLevel="0" collapsed="false">
      <c r="B16" s="60" t="s">
        <v>361</v>
      </c>
    </row>
    <row r="17" customFormat="false" ht="15" hidden="false" customHeight="false" outlineLevel="0" collapsed="false">
      <c r="B17" s="60" t="s">
        <v>362</v>
      </c>
    </row>
    <row r="18" customFormat="false" ht="15" hidden="false" customHeight="false" outlineLevel="0" collapsed="false">
      <c r="B18" s="60" t="s">
        <v>363</v>
      </c>
    </row>
    <row r="19" customFormat="false" ht="15" hidden="false" customHeight="false" outlineLevel="0" collapsed="false">
      <c r="B19" s="60" t="s">
        <v>364</v>
      </c>
    </row>
    <row r="20" customFormat="false" ht="15" hidden="false" customHeight="false" outlineLevel="0" collapsed="false">
      <c r="B20" s="60" t="s">
        <v>365</v>
      </c>
    </row>
    <row r="21" customFormat="false" ht="15" hidden="false" customHeight="false" outlineLevel="0" collapsed="false">
      <c r="B21" s="60"/>
    </row>
    <row r="22" customFormat="false" ht="15" hidden="false" customHeight="false" outlineLevel="0" collapsed="false">
      <c r="B22" s="61" t="s">
        <v>366</v>
      </c>
    </row>
    <row r="23" customFormat="false" ht="23.85" hidden="false" customHeight="false" outlineLevel="0" collapsed="false">
      <c r="B23" s="60" t="s">
        <v>367</v>
      </c>
    </row>
    <row r="24" customFormat="false" ht="23.85" hidden="false" customHeight="false" outlineLevel="0" collapsed="false">
      <c r="B24" s="60" t="s">
        <v>368</v>
      </c>
    </row>
    <row r="25" customFormat="false" ht="23.85" hidden="false" customHeight="false" outlineLevel="0" collapsed="false">
      <c r="B25" s="60" t="s">
        <v>369</v>
      </c>
    </row>
    <row r="26" customFormat="false" ht="15" hidden="false" customHeight="false" outlineLevel="0" collapsed="false">
      <c r="B26" s="60" t="s">
        <v>370</v>
      </c>
    </row>
    <row r="27" customFormat="false" ht="15" hidden="false" customHeight="false" outlineLevel="0" collapsed="false">
      <c r="B27" s="60" t="s">
        <v>371</v>
      </c>
    </row>
    <row r="28" customFormat="false" ht="23.85" hidden="false" customHeight="false" outlineLevel="0" collapsed="false">
      <c r="B28" s="60" t="s">
        <v>372</v>
      </c>
    </row>
    <row r="29" customFormat="false" ht="15" hidden="false" customHeight="false" outlineLevel="0" collapsed="false">
      <c r="B29" s="60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2026-10-06T14:14:01Z</dcterms:created>
  <dc:creator>openpyxl</dc:creator>
  <dc:description/>
  <dc:language>en-US</dc:language>
  <cp:lastModifiedBy/>
  <dcterms:modified xsi:type="dcterms:W3CDTF">2026-10-06T14:14:01Z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
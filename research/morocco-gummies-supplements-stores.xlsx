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tores" sheetId="2" state="visible" r:id="rId4"/>
    <sheet name="Notes &amp; metho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<sst xmlns="http://schemas.openxmlformats.org/spreadsheetml/2006/main" count="533" uniqueCount="293">
  <si>
    <t xml:space="preserve">Moroccan gummy &amp; supplement stores on Meta: summary</t>
  </si>
  <si>
    <t xml:space="preserve">Key figures</t>
  </si>
  <si>
    <t xml:space="preserve">Stores tracked</t>
  </si>
  <si>
    <t xml:space="preserve">Stores selling gummies</t>
  </si>
  <si>
    <t xml:space="preserve">Average entry price (MAD)</t>
  </si>
  <si>
    <t xml:space="preserve">Median entry price (MAD)</t>
  </si>
  <si>
    <t xml:space="preserve">Lowest entry price (MAD)</t>
  </si>
  <si>
    <t xml:space="preserve">Highest entry price (MAD)</t>
  </si>
  <si>
    <t xml:space="preserve">Total ads in Ad Library (Morocco)</t>
  </si>
  <si>
    <t xml:space="preserve">Average ads per store</t>
  </si>
  <si>
    <t xml:space="preserve">Average days since oldest live ad</t>
  </si>
  <si>
    <t xml:space="preserve">Store language (website)</t>
  </si>
  <si>
    <t xml:space="preserve">Stores</t>
  </si>
  <si>
    <t xml:space="preserve">French only</t>
  </si>
  <si>
    <t xml:space="preserve">Arabic only (incl. Darija)</t>
  </si>
  <si>
    <t xml:space="preserve">Bilingual (French + Arabic)</t>
  </si>
  <si>
    <t xml:space="preserve">No website (WhatsApp / Instagram)</t>
  </si>
  <si>
    <t xml:space="preserve">Top 10 by ads in Ad Library</t>
  </si>
  <si>
    <t xml:space="preserve">Ads (Morocco)</t>
  </si>
  <si>
    <t xml:space="preserve">Oldest live ad</t>
  </si>
  <si>
    <t xml:space="preserve">Note: "Oldest live ad" is the oldest ad still running (Meta deletes stopped ads for Moroccan advertisers). See "Notes &amp; method".</t>
  </si>
  <si>
    <t xml:space="preserve">#</t>
  </si>
  <si>
    <t xml:space="preserve">Store</t>
  </si>
  <si>
    <t xml:space="preserve">Category</t>
  </si>
  <si>
    <t xml:space="preserve">Sells gummies?</t>
  </si>
  <si>
    <t xml:space="preserve">Website</t>
  </si>
  <si>
    <t xml:space="preserve">Main products</t>
  </si>
  <si>
    <t xml:space="preserve">Entry price (MAD)</t>
  </si>
  <si>
    <t xml:space="preserve">Entry product</t>
  </si>
  <si>
    <t xml:space="preserve">Offer on website</t>
  </si>
  <si>
    <t xml:space="preserve">Promos seen in ads</t>
  </si>
  <si>
    <t xml:space="preserve">Delivery / payment (ads)</t>
  </si>
  <si>
    <t xml:space="preserve">Platform</t>
  </si>
  <si>
    <t xml:space="preserve">Oldest live ad: start date</t>
  </si>
  <si>
    <t xml:space="preserve">Status of that ad</t>
  </si>
  <si>
    <t xml:space="preserve">Days since oldest live ad</t>
  </si>
  <si>
    <t xml:space="preserve">Ads in Ad Library (Morocco)</t>
  </si>
  <si>
    <t xml:space="preserve">Newest ad: start date</t>
  </si>
  <si>
    <t xml:space="preserve">Oldest product on store</t>
  </si>
  <si>
    <t xml:space="preserve">Domain registered</t>
  </si>
  <si>
    <t xml:space="preserve">Page likes</t>
  </si>
  <si>
    <t xml:space="preserve">Ad Library link</t>
  </si>
  <si>
    <t xml:space="preserve">Facebook page</t>
  </si>
  <si>
    <t xml:space="preserve">Ad landing domains</t>
  </si>
  <si>
    <t xml:space="preserve">Argivit Maroc (Argivitmaroc.official)</t>
  </si>
  <si>
    <t xml:space="preserve">Kids growth supplements brand</t>
  </si>
  <si>
    <t xml:space="preserve">Yes</t>
  </si>
  <si>
    <t xml:space="preserve">argivitmaroc.com</t>
  </si>
  <si>
    <t xml:space="preserve">Kids/teen growth multivitamins (L-arginine + vit D): Argivit Classic, Focus, Gummies</t>
  </si>
  <si>
    <t xml:space="preserve">Argivit Gummies</t>
  </si>
  <si>
    <t xml:space="preserve">Classic 399 (was 499-549), Focus 450 (was 649); Discovery pack 3 products 599 MAD; ads push '-50% limited time'</t>
  </si>
  <si>
    <t xml:space="preserve">-50%</t>
  </si>
  <si>
    <t xml:space="preserve">Cash on delivery</t>
  </si>
  <si>
    <t xml:space="preserve">French + Arabic</t>
  </si>
  <si>
    <t xml:space="preserve">Shopify</t>
  </si>
  <si>
    <t xml:space="preserve">Active</t>
  </si>
  <si>
    <t xml:space="preserve">Open Ad Library</t>
  </si>
  <si>
    <t xml:space="preserve">argivitmaroc.com, instagram.com</t>
  </si>
  <si>
    <t xml:space="preserve">Argivit.com (2nd page)</t>
  </si>
  <si>
    <t xml:space="preserve">Same brand as Argivit Maroc (second Facebook page)</t>
  </si>
  <si>
    <t xml:space="preserve">Same as Argivit Maroc</t>
  </si>
  <si>
    <t xml:space="preserve">api.whatsapp.com, argivitmaroc.com</t>
  </si>
  <si>
    <t xml:space="preserve">Dr. Pops</t>
  </si>
  <si>
    <t xml:space="preserve">Wellness lollipops (honey/propolis)</t>
  </si>
  <si>
    <t xml:space="preserve">No (lollipops)</t>
  </si>
  <si>
    <t xml:space="preserve">drpops.ma</t>
  </si>
  <si>
    <t xml:space="preserve">Honey &amp; propolis lollipops for kids/adults, goat-milk caramel</t>
  </si>
  <si>
    <t xml:space="preserve">Propolis lollipops</t>
  </si>
  <si>
    <t xml:space="preserve">No discount shown</t>
  </si>
  <si>
    <t xml:space="preserve">-40%</t>
  </si>
  <si>
    <t xml:space="preserve">French</t>
  </si>
  <si>
    <t xml:space="preserve">Kivra</t>
  </si>
  <si>
    <t xml:space="preserve">Supplements brand</t>
  </si>
  <si>
    <t xml:space="preserve">No</t>
  </si>
  <si>
    <t xml:space="preserve">kivra.ma</t>
  </si>
  <si>
    <t xml:space="preserve">KivraBloom, BioSliim (slimming), BioSSITOL (inositol), KivraMAX Collagen</t>
  </si>
  <si>
    <t xml:space="preserve">Any product (was 299)</t>
  </si>
  <si>
    <t xml:space="preserve">-33% on all products (299 -&gt; 199 MAD)</t>
  </si>
  <si>
    <t xml:space="preserve">Cash on delivery, Free delivery</t>
  </si>
  <si>
    <t xml:space="preserve">Arabic</t>
  </si>
  <si>
    <t xml:space="preserve">YouCan</t>
  </si>
  <si>
    <t xml:space="preserve">Inactive</t>
  </si>
  <si>
    <t xml:space="preserve">kivra.ma, api.whatsapp.com</t>
  </si>
  <si>
    <t xml:space="preserve">Capila</t>
  </si>
  <si>
    <t xml:space="preserve">Hair care + hair supplement brand (also in pharmacies)</t>
  </si>
  <si>
    <t xml:space="preserve">capila.ma</t>
  </si>
  <si>
    <t xml:space="preserve">Anti hair-loss capsules, shampoo, serum, lotion</t>
  </si>
  <si>
    <t xml:space="preserve">Capila hair supplement 60 caps</t>
  </si>
  <si>
    <t xml:space="preserve">3-in-1 hair range 249 (was 450-498)</t>
  </si>
  <si>
    <t xml:space="preserve">Toltna</t>
  </si>
  <si>
    <t xml:space="preserve">Single-product supplement (height growth)</t>
  </si>
  <si>
    <t xml:space="preserve">toltna.com</t>
  </si>
  <si>
    <t xml:space="preserve">Toltna+ growth supplement</t>
  </si>
  <si>
    <t xml:space="preserve">Toltna+</t>
  </si>
  <si>
    <t xml:space="preserve">No discount shown on site</t>
  </si>
  <si>
    <t xml:space="preserve">Arabic (Darija)</t>
  </si>
  <si>
    <t xml:space="preserve">toltna.com, instagram.com</t>
  </si>
  <si>
    <t xml:space="preserve">HARD Morocco</t>
  </si>
  <si>
    <t xml:space="preserve">Gummies &amp; supplements brand</t>
  </si>
  <si>
    <t xml:space="preserve">hard.ma</t>
  </si>
  <si>
    <t xml:space="preserve">Ashwagandha, energy, hair &amp; nails gummies; shilajit, collagen, melatonin, fat burner, testosterone booster, omega 3, zinc, vit C</t>
  </si>
  <si>
    <t xml:space="preserve">Vitamin C 30 caps (gummies from 275 MAD)</t>
  </si>
  <si>
    <t xml:space="preserve">2 + 1 free (500 MAD) on collagen, melatonin, fat burner; gummies 1/2/3 months = 280/395/500 MAD; Full Pack 3 gummies 480 MAD; crossed-out prices up to -58%</t>
  </si>
  <si>
    <t xml:space="preserve">Free delivery</t>
  </si>
  <si>
    <t xml:space="preserve">Naturea Maroc</t>
  </si>
  <si>
    <t xml:space="preserve">Supplements brand (moringa)</t>
  </si>
  <si>
    <t xml:space="preserve">natureamaroc.com</t>
  </si>
  <si>
    <t xml:space="preserve">Moringa / moringa-curcuma capsules (vitality, digestion, prostate)</t>
  </si>
  <si>
    <t xml:space="preserve">Moringa Curcuma 30 caps</t>
  </si>
  <si>
    <t xml:space="preserve">Ads: cure 2 + 1 free at 339 DH with free delivery, cash on delivery</t>
  </si>
  <si>
    <t xml:space="preserve">2+1 free</t>
  </si>
  <si>
    <t xml:space="preserve">Gleamy</t>
  </si>
  <si>
    <t xml:space="preserve">Beauty + supplements brand</t>
  </si>
  <si>
    <t xml:space="preserve">gleamy.ma</t>
  </si>
  <si>
    <t xml:space="preserve">Super Collagen, liposomal iron, melatonin, propolis, skin-lightening cure + skincare</t>
  </si>
  <si>
    <t xml:space="preserve">Super Collagen / Liposomal Iron, 1 month</t>
  </si>
  <si>
    <t xml:space="preserve">1/2/3 boxes = 199/398/499 MAD; 'Fer 3 + 1' promo 597 MAD; 3-month collagen + free honey soap 499 MAD</t>
  </si>
  <si>
    <t xml:space="preserve">gleamy.ma, mygleamy.ma</t>
  </si>
  <si>
    <t xml:space="preserve">Melixir</t>
  </si>
  <si>
    <t xml:space="preserve">Single-product supplement store</t>
  </si>
  <si>
    <t xml:space="preserve">melixir.shop</t>
  </si>
  <si>
    <t xml:space="preserve">Magnesium complex</t>
  </si>
  <si>
    <t xml:space="preserve">Magnesium Complex</t>
  </si>
  <si>
    <t xml:space="preserve">Vitamiam</t>
  </si>
  <si>
    <t xml:space="preserve">Gummies store</t>
  </si>
  <si>
    <t xml:space="preserve">vitamiam.shop</t>
  </si>
  <si>
    <t xml:space="preserve">Shilajit, mushroom, collagen, feminine/intimate, melatonin, ashwagandha, ACV gummies (incl. Goli)</t>
  </si>
  <si>
    <t xml:space="preserve">Goli melatonin / ashwagandha / ACV gummies (was 270)</t>
  </si>
  <si>
    <t xml:space="preserve">Crossed-out prices: shilajit 239-259 (was 300-350), feminine 239 (was 450); slimming &amp; energy pack 259 (was 399)</t>
  </si>
  <si>
    <t xml:space="preserve">Simo Life (BeTheOne)</t>
  </si>
  <si>
    <t xml:space="preserve">betheone.shop</t>
  </si>
  <si>
    <t xml:space="preserve">Be Motivated, Be The Man, Be Strong, Be Genius (influencer Simo Life's Page, 855k likes)</t>
  </si>
  <si>
    <t xml:space="preserve">Be Motivated (was 290)</t>
  </si>
  <si>
    <t xml:space="preserve">Free delivery + cash on delivery; up to -60% claims</t>
  </si>
  <si>
    <t xml:space="preserve">betheone.shop, lmofidacademy.com</t>
  </si>
  <si>
    <t xml:space="preserve">Hoojan</t>
  </si>
  <si>
    <t xml:space="preserve">Health &amp; beauty marketplace</t>
  </si>
  <si>
    <t xml:space="preserve">Yes (brands)</t>
  </si>
  <si>
    <t xml:space="preserve">hoojan.com</t>
  </si>
  <si>
    <t xml:space="preserve">Marketplace: supplements, whey, beauty, sport</t>
  </si>
  <si>
    <t xml:space="preserve">Marketplace (many brands); site blocks bots</t>
  </si>
  <si>
    <t xml:space="preserve">Ads: Performance pack (whey + creatine + multivitamins + shaker) 1,499 DH, save 150 DH; same-day delivery Casablanca &amp; Rabat</t>
  </si>
  <si>
    <t xml:space="preserve">Custom</t>
  </si>
  <si>
    <t xml:space="preserve">Zorya Labs</t>
  </si>
  <si>
    <t xml:space="preserve">Gummies brand</t>
  </si>
  <si>
    <t xml:space="preserve">zoryalab.com</t>
  </si>
  <si>
    <t xml:space="preserve">Energy Focus, Stress Balance, Night Reset gummies (ads run from a repurposed personal Page with 153k likes)</t>
  </si>
  <si>
    <t xml:space="preserve">Energy Focus / Stress Balance gummies, 30-day</t>
  </si>
  <si>
    <t xml:space="preserve">60 days 520 / 90 days 737 MAD; 2-product packs 539-549 (was 578-588); full ritual 799 (was 877)</t>
  </si>
  <si>
    <t xml:space="preserve">Menopause Support Plus</t>
  </si>
  <si>
    <t xml:space="preserve">Supplement (WhatsApp seller)</t>
  </si>
  <si>
    <t xml:space="preserve">Menopause support supplement</t>
  </si>
  <si>
    <t xml:space="preserve">Price given on WhatsApp</t>
  </si>
  <si>
    <t xml:space="preserve">Delivery all Morocco, cash on delivery</t>
  </si>
  <si>
    <t xml:space="preserve">No website (WhatsApp)</t>
  </si>
  <si>
    <t xml:space="preserve">WhatsApp</t>
  </si>
  <si>
    <t xml:space="preserve">api.whatsapp.com</t>
  </si>
  <si>
    <t xml:space="preserve">Maghreb Nutrition</t>
  </si>
  <si>
    <t xml:space="preserve">Sports nutrition (official distributor)</t>
  </si>
  <si>
    <t xml:space="preserve">maghrebnutrition.ma</t>
  </si>
  <si>
    <t xml:space="preserve">Whey, creatine, collagen, endurance</t>
  </si>
  <si>
    <t xml:space="preserve">Site blocks bots (Cloudflare)</t>
  </si>
  <si>
    <t xml:space="preserve">Unknown</t>
  </si>
  <si>
    <t xml:space="preserve">Ferilys</t>
  </si>
  <si>
    <t xml:space="preserve">Supplements brand (women)</t>
  </si>
  <si>
    <t xml:space="preserve">ferilys.com</t>
  </si>
  <si>
    <t xml:space="preserve">Liposomal iron, magnesium bisglycinate, saffron, energy &amp; beauty boost + skincare</t>
  </si>
  <si>
    <t xml:space="preserve">Magnesium bisglycinate (149.99)</t>
  </si>
  <si>
    <t xml:space="preserve">1/2/3 boxes: iron 199/349/449; cures 449-499 (was 698-749)</t>
  </si>
  <si>
    <t xml:space="preserve">-30%</t>
  </si>
  <si>
    <t xml:space="preserve">ferilys.com, instagram.com</t>
  </si>
  <si>
    <t xml:space="preserve">Detox360</t>
  </si>
  <si>
    <t xml:space="preserve">Single-product supplement (detox)</t>
  </si>
  <si>
    <t xml:space="preserve">snqkpu-w0.myshopify.com</t>
  </si>
  <si>
    <t xml:space="preserve">Detox360 30-day cure</t>
  </si>
  <si>
    <t xml:space="preserve">30-day cure (was 299)</t>
  </si>
  <si>
    <t xml:space="preserve">-33% (299 -&gt; 199 MAD)</t>
  </si>
  <si>
    <t xml:space="preserve">Body Flex</t>
  </si>
  <si>
    <t xml:space="preserve">Fitness supplements</t>
  </si>
  <si>
    <t xml:space="preserve">body-flex.shop</t>
  </si>
  <si>
    <t xml:space="preserve">Testo booster, multivitamin, protein</t>
  </si>
  <si>
    <t xml:space="preserve">Testo booster</t>
  </si>
  <si>
    <t xml:space="preserve">Pack 229 MAD (was 836); protein 189 (was 349)</t>
  </si>
  <si>
    <t xml:space="preserve">Arabic + French</t>
  </si>
  <si>
    <t xml:space="preserve">Laprot Nutrition</t>
  </si>
  <si>
    <t xml:space="preserve">Sports nutrition store</t>
  </si>
  <si>
    <t xml:space="preserve">laprot.com</t>
  </si>
  <si>
    <t xml:space="preserve">Whey, creatine, pre-workout, vitamins, magnesium</t>
  </si>
  <si>
    <t xml:space="preserve">Zinc picolinate 30 caps (pre-workout shots from 25)</t>
  </si>
  <si>
    <t xml:space="preserve">69 of 95 products discounted</t>
  </si>
  <si>
    <t xml:space="preserve">WooCommerce</t>
  </si>
  <si>
    <t xml:space="preserve">laprot.com, api.whatsapp.com</t>
  </si>
  <si>
    <t xml:space="preserve">Côté Vert (Revoxine)</t>
  </si>
  <si>
    <t xml:space="preserve">Supplements store</t>
  </si>
  <si>
    <t xml:space="preserve">revoxine.ma</t>
  </si>
  <si>
    <t xml:space="preserve">Shilajit, berberine, biotin, D3, probiotics, melatonin, glutathione, zinc...</t>
  </si>
  <si>
    <t xml:space="preserve">Vit E / zinc / liver detox</t>
  </si>
  <si>
    <t xml:space="preserve">Crossed-out prices on all items (e.g. shilajit 179, was 269); ads: magnesium glycinate 159 DH instead of 199</t>
  </si>
  <si>
    <t xml:space="preserve">-20%</t>
  </si>
  <si>
    <t xml:space="preserve">Elev8 Supplements</t>
  </si>
  <si>
    <t xml:space="preserve">elev8supplements.ma</t>
  </si>
  <si>
    <t xml:space="preserve">Hair/nails/skin gummies, magnesium bisglycinate, melatonin, multivitamins, omega 3</t>
  </si>
  <si>
    <t xml:space="preserve">Melatonin (153 MAD with subscription)</t>
  </si>
  <si>
    <t xml:space="preserve">-15% on monthly subscription; packs Sommeil 513, Vitalité 615, Beauté 720 MAD (-15%); free delivery from 499 MAD</t>
  </si>
  <si>
    <t xml:space="preserve">elev8supplements.ma, instagram.com</t>
  </si>
  <si>
    <t xml:space="preserve">VitalisPro</t>
  </si>
  <si>
    <t xml:space="preserve">vitalispro.online</t>
  </si>
  <si>
    <t xml:space="preserve">Moringa, berberine, chromium, collagen, spirulina, slimming packs</t>
  </si>
  <si>
    <t xml:space="preserve">Moringa 60 tabs (was 250)</t>
  </si>
  <si>
    <t xml:space="preserve">Heavy crossed-out prices; packs 190-300 MAD (was 250-710)</t>
  </si>
  <si>
    <t xml:space="preserve">api.whatsapp.com, vitalispro.online</t>
  </si>
  <si>
    <t xml:space="preserve">Mapara.ma</t>
  </si>
  <si>
    <t xml:space="preserve">Online parapharmacy (ads mostly hair care)</t>
  </si>
  <si>
    <t xml:space="preserve">mapara.ma</t>
  </si>
  <si>
    <t xml:space="preserve">Parapharmacy incl. supplements</t>
  </si>
  <si>
    <t xml:space="preserve">Site blocked by Cloudflare</t>
  </si>
  <si>
    <t xml:space="preserve">Nutrifio Maroc</t>
  </si>
  <si>
    <t xml:space="preserve">Collagen + vitamins + hyaluronic acid + zinc routine</t>
  </si>
  <si>
    <t xml:space="preserve">Orders via Instagram</t>
  </si>
  <si>
    <t xml:space="preserve">No website (Instagram)</t>
  </si>
  <si>
    <t xml:space="preserve">Instagram</t>
  </si>
  <si>
    <t xml:space="preserve">instagram.com</t>
  </si>
  <si>
    <t xml:space="preserve">Muscle Fuel Maroc</t>
  </si>
  <si>
    <t xml:space="preserve">Sports nutrition (physical shop, Rabat)</t>
  </si>
  <si>
    <t xml:space="preserve">?</t>
  </si>
  <si>
    <t xml:space="preserve">Imported sports supplements</t>
  </si>
  <si>
    <t xml:space="preserve">Shop in Rabat (Bab Bouiba mall) / Instagram</t>
  </si>
  <si>
    <t xml:space="preserve">'Strongest offers' in ads, no prices</t>
  </si>
  <si>
    <t xml:space="preserve">AlphaVital</t>
  </si>
  <si>
    <t xml:space="preserve">alphavital.ma</t>
  </si>
  <si>
    <t xml:space="preserve">Berberine, collagen, magnesium, D3+K2, iron, saw palmetto, bundles</t>
  </si>
  <si>
    <t xml:space="preserve">Saw Palmetto (was 150)</t>
  </si>
  <si>
    <t xml:space="preserve">82 of 100 products discounted; 2-product bundles 199-299 MAD; free delivery from 170 DH (ads)</t>
  </si>
  <si>
    <t xml:space="preserve">Maroc Vitamin</t>
  </si>
  <si>
    <t xml:space="preserve">Imported supplements store</t>
  </si>
  <si>
    <t xml:space="preserve">Few</t>
  </si>
  <si>
    <t xml:space="preserve">marocvita.com</t>
  </si>
  <si>
    <t xml:space="preserve">Imported vitamins (Now, Solgar-type), probiotics, collagen, omega 3, creatine</t>
  </si>
  <si>
    <t xml:space="preserve">MGD Vigne Rouge 90 caps (was 120)</t>
  </si>
  <si>
    <t xml:space="preserve">All listed products show a crossed-out price (about -10 to -30%); ads: CollagenUP 330 DH instead of 440 (-25%); delivery 20 DH Casablanca / 30 DH other cities, cash on delivery</t>
  </si>
  <si>
    <t xml:space="preserve">-25%</t>
  </si>
  <si>
    <t xml:space="preserve">marocvita.com, api.whatsapp.com</t>
  </si>
  <si>
    <t xml:space="preserve">Supplements Maroc</t>
  </si>
  <si>
    <t xml:space="preserve">Sports nutrition + vitamins store</t>
  </si>
  <si>
    <t xml:space="preserve">supplementsmaroc.com</t>
  </si>
  <si>
    <t xml:space="preserve">Imported vitamins, creatine, whey, bars, accessories</t>
  </si>
  <si>
    <t xml:space="preserve">Vitamin B complex 100 tabs (was 249)</t>
  </si>
  <si>
    <t xml:space="preserve">379 of 486 products discounted</t>
  </si>
  <si>
    <t xml:space="preserve">Vitamin Store Maroc</t>
  </si>
  <si>
    <t xml:space="preserve">Sports nutrition + vitamins (retail &amp; wholesale)</t>
  </si>
  <si>
    <t xml:space="preserve">Protein, vitamins &amp; minerals, creatine, amino acids, gainers</t>
  </si>
  <si>
    <t xml:space="preserve">Wholesale and retail</t>
  </si>
  <si>
    <t xml:space="preserve">VertuPlus</t>
  </si>
  <si>
    <t xml:space="preserve">Supplements brand (capsules + gummies)</t>
  </si>
  <si>
    <t xml:space="preserve">vertuplus.ma</t>
  </si>
  <si>
    <t xml:space="preserve">Multivitamins, magnesium, vitamin C, D3+K2, Kids+, spirulina, marine collagen, moringa, turmeric</t>
  </si>
  <si>
    <t xml:space="preserve">No prices online (catalogue site)</t>
  </si>
  <si>
    <t xml:space="preserve">Free delivery from 399 MAD; 30-day money-back guarantee; brand says it is 10 years old (giveaway ad)</t>
  </si>
  <si>
    <t xml:space="preserve">WordPress (catalogue)</t>
  </si>
  <si>
    <t xml:space="preserve">Atlas Pure</t>
  </si>
  <si>
    <t xml:space="preserve">Herbal products (mostly creams; ads push vitiligo cream; sells joint capsules)</t>
  </si>
  <si>
    <t xml:space="preserve">atlaspure.shop</t>
  </si>
  <si>
    <t xml:space="preserve">Joint capsules, hair serum, breath drops, foot spray, vitiligo cream</t>
  </si>
  <si>
    <t xml:space="preserve">Joint capsules</t>
  </si>
  <si>
    <t xml:space="preserve">Free delivery, cash on delivery, 30-day money-back guarantee</t>
  </si>
  <si>
    <t xml:space="preserve">Dr Nutri</t>
  </si>
  <si>
    <t xml:space="preserve">drnutri.ma</t>
  </si>
  <si>
    <t xml:space="preserve">Imported vitamins: D3, B complex, collagen, berberine, magnesium, NAC, zinc</t>
  </si>
  <si>
    <t xml:space="preserve">Vitamin D3 / B complex</t>
  </si>
  <si>
    <t xml:space="preserve">Some crossed-out prices (e.g. collagen 349, was 450); fast delivery all Morocco</t>
  </si>
  <si>
    <t xml:space="preserve">Moroccan gummy &amp; supplement stores: Meta ad research</t>
  </si>
  <si>
    <t xml:space="preserve">Research date</t>
  </si>
  <si>
    <t xml:space="preserve">Change this date to refresh the "Days since oldest live ad" column.</t>
  </si>
  <si>
    <t xml:space="preserve">What each column means</t>
  </si>
  <si>
    <t xml:space="preserve">Cheapest single supplement on the store website (1 unit / 1-month cure), in dirhams. Bundles and crossed-out prices are in "Offer on website".</t>
  </si>
  <si>
    <t xml:space="preserve">Discounts, bundles (2+1, 1/2/3 months), packs and crossed-out prices seen on the store site on the research date.</t>
  </si>
  <si>
    <t xml:space="preserve">Discount percentages and N+N offers found in the text of the ads sampled from the Ad Library.</t>
  </si>
  <si>
    <t xml:space="preserve">Cash on delivery / free delivery claims found in ad text.</t>
  </si>
  <si>
    <t xml:space="preserve">Main language of the store website (homepage + product page), not of the ads. Darija = Moroccan Arabic.</t>
  </si>
  <si>
    <t xml:space="preserve">Start date of the oldest ad the Meta Ad Library shows for this Page (country = Morocco). IMPORTANT: outside the EU, Meta only keeps non-political ads while they are running. Stopped ads disappear, so this is the oldest ad that is STILL RUNNING. It is not the first ad the store ever ran. Use "Oldest product on store" and "Domain registered" as extra clues to when the store started. For the Facebook Page creation date, open the Ad Library link and click "About" (Page transparency): Meta rate-limited that field during this research, so it could not be collected automatically.</t>
  </si>
  <si>
    <t xml:space="preserve">Whether that oldest ad is still active. Most are Active, for the reason above. A few stopped ads still show (e.g. Kivra, Capila), so those stores have been advertising at least since that date.</t>
  </si>
  <si>
    <t xml:space="preserve">Formula: research date (cell B3) minus the oldest live ad date.</t>
  </si>
  <si>
    <t xml:space="preserve">Number of results the Ad Library reports for the Page with country = Morocco and status = all. Meta shows this as an approximate count ("~145 results").</t>
  </si>
  <si>
    <t xml:space="preserve">Earliest product creation date in the Shopify catalog (Shopify stores only). A rough proxy for when the store went live.</t>
  </si>
  <si>
    <t xml:space="preserve">Registration date of the website domain (RDAP). Not available for .ma domains from this environment.</t>
  </si>
  <si>
    <t xml:space="preserve">Opens the Page in the Meta Ad Library (all ads, Morocco).</t>
  </si>
  <si>
    <t xml:space="preserve">How the list was built</t>
  </si>
  <si>
    <t xml:space="preserve">Discovery</t>
  </si>
  <si>
    <t xml:space="preserve">24 keyword searches in the Meta Ad Library, country Morocco, active ads: gummies, gummy, gummies cheveux, complément alimentaire, مكمل غذائي, حلوى الفيتامينات, فيتامينات, vitamines, collagène, كولاجين, ashwagandha, shilajit, biotine, magnésium, الدفع عند الاستلام فيتامين, gommes, oméga 3, créatine, whey maroc, زيادة الطول, and others. Advertisers were kept when they sell supplements or gummies AND are Moroccan (.ma domain, prices in MAD, Darija/COD wording or "Maroc" in the Page name). Foreign brands advertising into Morocco (Lashilé, Goli, iHerb...) were excluded.</t>
  </si>
  <si>
    <t xml:space="preserve">Excluded after checking</t>
  </si>
  <si>
    <t xml:space="preserve">Sukar By Lara (candy shop), Tisila (food), Beautyvana (skincare only), Hawta Maroc/Algoderm (general goods), Doppelherz (brand site, sells through pharmacies only), Marjane Mall (general marketplace).</t>
  </si>
  <si>
    <t xml:space="preserve">Limits</t>
  </si>
  <si>
    <t xml:space="preserve">Meta rate-limits the Ad Library heavily, and a few Pages may show no ad data. Ad counts change daily. Mapara, Maghreb Nutrition and Hoojan block automated visits (Cloudflare), so their prices are missing. Ad Library counts include all ad variations (dynamic creative), so a high count does not mean a high budget.</t>
  </si>
</sst>
</file>

<file path=xl/styles.xml><?xml version="1.0" encoding="utf-8"?>
<styleSheet xmlns="http://schemas.openxmlformats.org/spreadsheetml/2006/main">
  <numFmts count="3">
    <numFmt numFmtId="164" formatCode="General"/>
    <numFmt numFmtId="165" formatCode="#,##0"/>
    <numFmt numFmtId="166" formatCode="yyyy\-mm\-dd"/>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
      <sz val="10"/>
      <color rgb="FF0000FF"/>
      <name val="Arial"/>
      <family val="0"/>
      <charset val="1"/>
    </font>
    <font>
      <i val="true"/>
      <sz val="9"/>
      <color rgb="FF80808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6"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Stores" displayName="Stores" ref="A1:X34" headerRowCount="1" totalsRowCount="0" totalsRowShown="0">
  <autoFilter ref="A1:X34"/>
  <tableColumns count="24">
    <tableColumn id="1" name="#"/>
    <tableColumn id="2" name="Store"/>
    <tableColumn id="3" name="Category"/>
    <tableColumn id="4" name="Sells gummies?"/>
    <tableColumn id="5" name="Website"/>
    <tableColumn id="6" name="Main products"/>
    <tableColumn id="7" name="Entry price (MAD)"/>
    <tableColumn id="8" name="Entry product"/>
    <tableColumn id="9" name="Offer on website"/>
    <tableColumn id="10" name="Promos seen in ads"/>
    <tableColumn id="11" name="Delivery / payment (ads)"/>
    <tableColumn id="12" name="Store language (website)"/>
    <tableColumn id="13" name="Platform"/>
    <tableColumn id="14" name="Oldest live ad: start date"/>
    <tableColumn id="15" name="Status of that ad"/>
    <tableColumn id="16" name="Days since oldest live ad"/>
    <tableColumn id="17" name="Ads in Ad Library (Morocco)"/>
    <tableColumn id="18" name="Newest ad: start date"/>
    <tableColumn id="19" name="Oldest product on store"/>
    <tableColumn id="20" name="Domain registered"/>
    <tableColumn id="21" name="Page likes"/>
    <tableColumn id="22" name="Ad Library link"/>
    <tableColumn id="23" name="Facebook page"/>
    <tableColumn id="24" name="Ad landing domain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argivitmaroc.com/" TargetMode="External"/><Relationship Id="rId2" Type="http://schemas.openxmlformats.org/officeDocument/2006/relationships/hyperlink" Target="https://www.facebook.com/ads/library/?active_status=all&amp;ad_type=all&amp;country=MA&amp;view_all_page_id=1156486424219615&amp;search_type=page&amp;media_type=all" TargetMode="External"/><Relationship Id="rId3" Type="http://schemas.openxmlformats.org/officeDocument/2006/relationships/hyperlink" Target="https://www.facebook.com/61591773032461/" TargetMode="External"/><Relationship Id="rId4" Type="http://schemas.openxmlformats.org/officeDocument/2006/relationships/hyperlink" Target="https://argivitmaroc.com/" TargetMode="External"/><Relationship Id="rId5" Type="http://schemas.openxmlformats.org/officeDocument/2006/relationships/hyperlink" Target="https://www.facebook.com/ads/library/?active_status=all&amp;ad_type=all&amp;country=MA&amp;view_all_page_id=1219238237937401&amp;search_type=page&amp;media_type=all" TargetMode="External"/><Relationship Id="rId6" Type="http://schemas.openxmlformats.org/officeDocument/2006/relationships/hyperlink" Target="https://www.facebook.com/61591991916852/" TargetMode="External"/><Relationship Id="rId7" Type="http://schemas.openxmlformats.org/officeDocument/2006/relationships/hyperlink" Target="https://drpops.ma/" TargetMode="External"/><Relationship Id="rId8" Type="http://schemas.openxmlformats.org/officeDocument/2006/relationships/hyperlink" Target="https://www.facebook.com/ads/library/?active_status=all&amp;ad_type=all&amp;country=MA&amp;view_all_page_id=1234830843056037&amp;search_type=page&amp;media_type=all" TargetMode="External"/><Relationship Id="rId9" Type="http://schemas.openxmlformats.org/officeDocument/2006/relationships/hyperlink" Target="https://www.facebook.com/61594411744526/" TargetMode="External"/><Relationship Id="rId10" Type="http://schemas.openxmlformats.org/officeDocument/2006/relationships/hyperlink" Target="https://kivra.ma/" TargetMode="External"/><Relationship Id="rId11" Type="http://schemas.openxmlformats.org/officeDocument/2006/relationships/hyperlink" Target="https://www.facebook.com/ads/library/?active_status=all&amp;ad_type=all&amp;country=MA&amp;view_all_page_id=914329081753251&amp;search_type=page&amp;media_type=all" TargetMode="External"/><Relationship Id="rId12" Type="http://schemas.openxmlformats.org/officeDocument/2006/relationships/hyperlink" Target="https://www.facebook.com/61583947851655/" TargetMode="External"/><Relationship Id="rId13" Type="http://schemas.openxmlformats.org/officeDocument/2006/relationships/hyperlink" Target="https://capila.ma/" TargetMode="External"/><Relationship Id="rId14" Type="http://schemas.openxmlformats.org/officeDocument/2006/relationships/hyperlink" Target="https://www.facebook.com/ads/library/?active_status=all&amp;ad_type=all&amp;country=MA&amp;view_all_page_id=109888548031831&amp;search_type=page&amp;media_type=all" TargetMode="External"/><Relationship Id="rId15" Type="http://schemas.openxmlformats.org/officeDocument/2006/relationships/hyperlink" Target="https://www.facebook.com/capila.ma0/" TargetMode="External"/><Relationship Id="rId16" Type="http://schemas.openxmlformats.org/officeDocument/2006/relationships/hyperlink" Target="https://toltna.com/" TargetMode="External"/><Relationship Id="rId17" Type="http://schemas.openxmlformats.org/officeDocument/2006/relationships/hyperlink" Target="https://www.facebook.com/ads/library/?active_status=all&amp;ad_type=all&amp;country=MA&amp;view_all_page_id=1163285720196246&amp;search_type=page&amp;media_type=all" TargetMode="External"/><Relationship Id="rId18" Type="http://schemas.openxmlformats.org/officeDocument/2006/relationships/hyperlink" Target="https://www.facebook.com/61590598738601/" TargetMode="External"/><Relationship Id="rId19" Type="http://schemas.openxmlformats.org/officeDocument/2006/relationships/hyperlink" Target="https://hard.ma/" TargetMode="External"/><Relationship Id="rId20" Type="http://schemas.openxmlformats.org/officeDocument/2006/relationships/hyperlink" Target="https://www.facebook.com/ads/library/?active_status=all&amp;ad_type=all&amp;country=MA&amp;view_all_page_id=1243583255499343&amp;search_type=page&amp;media_type=all" TargetMode="External"/><Relationship Id="rId21" Type="http://schemas.openxmlformats.org/officeDocument/2006/relationships/hyperlink" Target="https://www.facebook.com/61591803334344/" TargetMode="External"/><Relationship Id="rId22" Type="http://schemas.openxmlformats.org/officeDocument/2006/relationships/hyperlink" Target="https://natureamaroc.com/" TargetMode="External"/><Relationship Id="rId23" Type="http://schemas.openxmlformats.org/officeDocument/2006/relationships/hyperlink" Target="https://www.facebook.com/ads/library/?active_status=all&amp;ad_type=all&amp;country=MA&amp;view_all_page_id=1250492024812422&amp;search_type=page&amp;media_type=all" TargetMode="External"/><Relationship Id="rId24" Type="http://schemas.openxmlformats.org/officeDocument/2006/relationships/hyperlink" Target="https://www.facebook.com/61591866572903/" TargetMode="External"/><Relationship Id="rId25" Type="http://schemas.openxmlformats.org/officeDocument/2006/relationships/hyperlink" Target="https://gleamy.ma/" TargetMode="External"/><Relationship Id="rId26" Type="http://schemas.openxmlformats.org/officeDocument/2006/relationships/hyperlink" Target="https://www.facebook.com/ads/library/?active_status=all&amp;ad_type=all&amp;country=MA&amp;view_all_page_id=109390868447596&amp;search_type=page&amp;media_type=all" TargetMode="External"/><Relationship Id="rId27" Type="http://schemas.openxmlformats.org/officeDocument/2006/relationships/hyperlink" Target="https://www.facebook.com/Gleamy.skincare/" TargetMode="External"/><Relationship Id="rId28" Type="http://schemas.openxmlformats.org/officeDocument/2006/relationships/hyperlink" Target="https://melixir.shop/" TargetMode="External"/><Relationship Id="rId29" Type="http://schemas.openxmlformats.org/officeDocument/2006/relationships/hyperlink" Target="https://www.facebook.com/ads/library/?active_status=all&amp;ad_type=all&amp;country=MA&amp;view_all_page_id=108387102162966&amp;search_type=page&amp;media_type=all" TargetMode="External"/><Relationship Id="rId30" Type="http://schemas.openxmlformats.org/officeDocument/2006/relationships/hyperlink" Target="https://www.facebook.com/melixir.shop/" TargetMode="External"/><Relationship Id="rId31" Type="http://schemas.openxmlformats.org/officeDocument/2006/relationships/hyperlink" Target="https://vitamiam.shop/" TargetMode="External"/><Relationship Id="rId32" Type="http://schemas.openxmlformats.org/officeDocument/2006/relationships/hyperlink" Target="https://www.facebook.com/ads/library/?active_status=all&amp;ad_type=all&amp;country=MA&amp;view_all_page_id=976335318907582&amp;search_type=page&amp;media_type=all" TargetMode="External"/><Relationship Id="rId33" Type="http://schemas.openxmlformats.org/officeDocument/2006/relationships/hyperlink" Target="https://www.facebook.com/61576360272463/" TargetMode="External"/><Relationship Id="rId34" Type="http://schemas.openxmlformats.org/officeDocument/2006/relationships/hyperlink" Target="https://betheone.shop/" TargetMode="External"/><Relationship Id="rId35" Type="http://schemas.openxmlformats.org/officeDocument/2006/relationships/hyperlink" Target="https://www.facebook.com/ads/library/?active_status=all&amp;ad_type=all&amp;country=MA&amp;view_all_page_id=146652135407009&amp;search_type=page&amp;media_type=all" TargetMode="External"/><Relationship Id="rId36" Type="http://schemas.openxmlformats.org/officeDocument/2006/relationships/hyperlink" Target="https://www.facebook.com/SimoLifeDotCom/" TargetMode="External"/><Relationship Id="rId37" Type="http://schemas.openxmlformats.org/officeDocument/2006/relationships/hyperlink" Target="https://hoojan.com/" TargetMode="External"/><Relationship Id="rId38" Type="http://schemas.openxmlformats.org/officeDocument/2006/relationships/hyperlink" Target="https://www.facebook.com/ads/library/?active_status=all&amp;ad_type=all&amp;country=MA&amp;view_all_page_id=123012767567442&amp;search_type=page&amp;media_type=all" TargetMode="External"/><Relationship Id="rId39" Type="http://schemas.openxmlformats.org/officeDocument/2006/relationships/hyperlink" Target="https://www.facebook.com/61551712252124/" TargetMode="External"/><Relationship Id="rId40" Type="http://schemas.openxmlformats.org/officeDocument/2006/relationships/hyperlink" Target="https://zoryalab.com/" TargetMode="External"/><Relationship Id="rId41" Type="http://schemas.openxmlformats.org/officeDocument/2006/relationships/hyperlink" Target="https://www.facebook.com/ads/library/?active_status=all&amp;ad_type=all&amp;country=MA&amp;view_all_page_id=1067751786432445&amp;search_type=page&amp;media_type=all" TargetMode="External"/><Relationship Id="rId42" Type="http://schemas.openxmlformats.org/officeDocument/2006/relationships/hyperlink" Target="https://www.facebook.com/SouhaibDziri1/" TargetMode="External"/><Relationship Id="rId43" Type="http://schemas.openxmlformats.org/officeDocument/2006/relationships/hyperlink" Target="https://www.facebook.com/ads/library/?active_status=all&amp;ad_type=all&amp;country=MA&amp;view_all_page_id=1241575169041845&amp;search_type=page&amp;media_type=all" TargetMode="External"/><Relationship Id="rId44" Type="http://schemas.openxmlformats.org/officeDocument/2006/relationships/hyperlink" Target="https://www.facebook.com/61592864267338/" TargetMode="External"/><Relationship Id="rId45" Type="http://schemas.openxmlformats.org/officeDocument/2006/relationships/hyperlink" Target="https://maghrebnutrition.ma/" TargetMode="External"/><Relationship Id="rId46" Type="http://schemas.openxmlformats.org/officeDocument/2006/relationships/hyperlink" Target="https://www.facebook.com/ads/library/?active_status=all&amp;ad_type=all&amp;country=MA&amp;view_all_page_id=810979565429504&amp;search_type=page&amp;media_type=all" TargetMode="External"/><Relationship Id="rId47" Type="http://schemas.openxmlformats.org/officeDocument/2006/relationships/hyperlink" Target="https://www.facebook.com/maghrebnutritionsports/" TargetMode="External"/><Relationship Id="rId48" Type="http://schemas.openxmlformats.org/officeDocument/2006/relationships/hyperlink" Target="https://ferilys.com/" TargetMode="External"/><Relationship Id="rId49" Type="http://schemas.openxmlformats.org/officeDocument/2006/relationships/hyperlink" Target="https://www.facebook.com/ads/library/?active_status=all&amp;ad_type=all&amp;country=MA&amp;view_all_page_id=792893580581921&amp;search_type=page&amp;media_type=all" TargetMode="External"/><Relationship Id="rId50" Type="http://schemas.openxmlformats.org/officeDocument/2006/relationships/hyperlink" Target="https://www.facebook.com/61582961046518/" TargetMode="External"/><Relationship Id="rId51" Type="http://schemas.openxmlformats.org/officeDocument/2006/relationships/hyperlink" Target="https://snqkpu-w0.myshopify.com/" TargetMode="External"/><Relationship Id="rId52" Type="http://schemas.openxmlformats.org/officeDocument/2006/relationships/hyperlink" Target="https://www.facebook.com/ads/library/?active_status=all&amp;ad_type=all&amp;country=MA&amp;view_all_page_id=1000727426448557&amp;search_type=page&amp;media_type=all" TargetMode="External"/><Relationship Id="rId53" Type="http://schemas.openxmlformats.org/officeDocument/2006/relationships/hyperlink" Target="https://www.facebook.com/61586935034840/" TargetMode="External"/><Relationship Id="rId54" Type="http://schemas.openxmlformats.org/officeDocument/2006/relationships/hyperlink" Target="https://body-flex.shop/" TargetMode="External"/><Relationship Id="rId55" Type="http://schemas.openxmlformats.org/officeDocument/2006/relationships/hyperlink" Target="https://www.facebook.com/ads/library/?active_status=all&amp;ad_type=all&amp;country=MA&amp;view_all_page_id=479523328576273&amp;search_type=page&amp;media_type=all" TargetMode="External"/><Relationship Id="rId56" Type="http://schemas.openxmlformats.org/officeDocument/2006/relationships/hyperlink" Target="https://www.facebook.com/61568684408574/" TargetMode="External"/><Relationship Id="rId57" Type="http://schemas.openxmlformats.org/officeDocument/2006/relationships/hyperlink" Target="https://laprot.com/" TargetMode="External"/><Relationship Id="rId58" Type="http://schemas.openxmlformats.org/officeDocument/2006/relationships/hyperlink" Target="https://www.facebook.com/ads/library/?active_status=all&amp;ad_type=all&amp;country=MA&amp;view_all_page_id=136215899582831&amp;search_type=page&amp;media_type=all" TargetMode="External"/><Relationship Id="rId59" Type="http://schemas.openxmlformats.org/officeDocument/2006/relationships/hyperlink" Target="https://www.facebook.com/61553040140306/" TargetMode="External"/><Relationship Id="rId60" Type="http://schemas.openxmlformats.org/officeDocument/2006/relationships/hyperlink" Target="https://revoxine.ma/" TargetMode="External"/><Relationship Id="rId61" Type="http://schemas.openxmlformats.org/officeDocument/2006/relationships/hyperlink" Target="https://www.facebook.com/ads/library/?active_status=all&amp;ad_type=all&amp;country=MA&amp;view_all_page_id=202502829606855&amp;search_type=page&amp;media_type=all" TargetMode="External"/><Relationship Id="rId62" Type="http://schemas.openxmlformats.org/officeDocument/2006/relationships/hyperlink" Target="https://www.facebook.com/revoxine/" TargetMode="External"/><Relationship Id="rId63" Type="http://schemas.openxmlformats.org/officeDocument/2006/relationships/hyperlink" Target="https://elev8supplements.ma/" TargetMode="External"/><Relationship Id="rId64" Type="http://schemas.openxmlformats.org/officeDocument/2006/relationships/hyperlink" Target="https://www.facebook.com/ads/library/?active_status=all&amp;ad_type=all&amp;country=MA&amp;view_all_page_id=628472913686189&amp;search_type=page&amp;media_type=all" TargetMode="External"/><Relationship Id="rId65" Type="http://schemas.openxmlformats.org/officeDocument/2006/relationships/hyperlink" Target="https://www.facebook.com/elev8.supplement/" TargetMode="External"/><Relationship Id="rId66" Type="http://schemas.openxmlformats.org/officeDocument/2006/relationships/hyperlink" Target="https://vitalispro.online/" TargetMode="External"/><Relationship Id="rId67" Type="http://schemas.openxmlformats.org/officeDocument/2006/relationships/hyperlink" Target="https://www.facebook.com/ads/library/?active_status=all&amp;ad_type=all&amp;country=MA&amp;view_all_page_id=397638396770163&amp;search_type=page&amp;media_type=all" TargetMode="External"/><Relationship Id="rId68" Type="http://schemas.openxmlformats.org/officeDocument/2006/relationships/hyperlink" Target="https://www.facebook.com/61565118657700/" TargetMode="External"/><Relationship Id="rId69" Type="http://schemas.openxmlformats.org/officeDocument/2006/relationships/hyperlink" Target="https://mapara.ma/" TargetMode="External"/><Relationship Id="rId70" Type="http://schemas.openxmlformats.org/officeDocument/2006/relationships/hyperlink" Target="https://www.facebook.com/ads/library/?active_status=all&amp;ad_type=all&amp;country=MA&amp;view_all_page_id=619737124552352&amp;search_type=page&amp;media_type=all" TargetMode="External"/><Relationship Id="rId71" Type="http://schemas.openxmlformats.org/officeDocument/2006/relationships/hyperlink" Target="https://www.facebook.com/61574539281891/" TargetMode="External"/><Relationship Id="rId72" Type="http://schemas.openxmlformats.org/officeDocument/2006/relationships/hyperlink" Target="https://www.facebook.com/ads/library/?active_status=all&amp;ad_type=all&amp;country=MA&amp;view_all_page_id=951223781412564&amp;search_type=page&amp;media_type=all" TargetMode="External"/><Relationship Id="rId73" Type="http://schemas.openxmlformats.org/officeDocument/2006/relationships/hyperlink" Target="https://www.facebook.com/61588095299962/" TargetMode="External"/><Relationship Id="rId74" Type="http://schemas.openxmlformats.org/officeDocument/2006/relationships/hyperlink" Target="https://www.facebook.com/ads/library/?active_status=all&amp;ad_type=all&amp;country=MA&amp;view_all_page_id=107968595205286&amp;search_type=page&amp;media_type=all" TargetMode="External"/><Relationship Id="rId75" Type="http://schemas.openxmlformats.org/officeDocument/2006/relationships/hyperlink" Target="https://www.facebook.com/MUSCLEFUELMAROC/" TargetMode="External"/><Relationship Id="rId76" Type="http://schemas.openxmlformats.org/officeDocument/2006/relationships/hyperlink" Target="https://alphavital.ma/" TargetMode="External"/><Relationship Id="rId77" Type="http://schemas.openxmlformats.org/officeDocument/2006/relationships/hyperlink" Target="https://www.facebook.com/ads/library/?active_status=all&amp;ad_type=all&amp;country=MA&amp;view_all_page_id=108523084982562&amp;search_type=page&amp;media_type=all" TargetMode="External"/><Relationship Id="rId78" Type="http://schemas.openxmlformats.org/officeDocument/2006/relationships/hyperlink" Target="https://www.facebook.com/Alphavital.Maroc/" TargetMode="External"/><Relationship Id="rId79" Type="http://schemas.openxmlformats.org/officeDocument/2006/relationships/hyperlink" Target="https://marocvita.com/" TargetMode="External"/><Relationship Id="rId80" Type="http://schemas.openxmlformats.org/officeDocument/2006/relationships/hyperlink" Target="https://www.facebook.com/ads/library/?active_status=all&amp;ad_type=all&amp;country=MA&amp;view_all_page_id=110183498167608&amp;search_type=page&amp;media_type=all" TargetMode="External"/><Relationship Id="rId81" Type="http://schemas.openxmlformats.org/officeDocument/2006/relationships/hyperlink" Target="https://www.facebook.com/100076113712741/" TargetMode="External"/><Relationship Id="rId82" Type="http://schemas.openxmlformats.org/officeDocument/2006/relationships/hyperlink" Target="https://supplementsmaroc.com/" TargetMode="External"/><Relationship Id="rId83" Type="http://schemas.openxmlformats.org/officeDocument/2006/relationships/hyperlink" Target="https://www.facebook.com/ads/library/?active_status=all&amp;ad_type=all&amp;country=MA&amp;view_all_page_id=678175699204361&amp;search_type=page&amp;media_type=all" TargetMode="External"/><Relationship Id="rId84" Type="http://schemas.openxmlformats.org/officeDocument/2006/relationships/hyperlink" Target="https://www.facebook.com/supplementsmaroc/" TargetMode="External"/><Relationship Id="rId85" Type="http://schemas.openxmlformats.org/officeDocument/2006/relationships/hyperlink" Target="https://www.facebook.com/ads/library/?active_status=all&amp;ad_type=all&amp;country=MA&amp;view_all_page_id=270530066151143&amp;search_type=page&amp;media_type=all" TargetMode="External"/><Relationship Id="rId86" Type="http://schemas.openxmlformats.org/officeDocument/2006/relationships/hyperlink" Target="https://www.facebook.com/61558311373752/" TargetMode="External"/><Relationship Id="rId87" Type="http://schemas.openxmlformats.org/officeDocument/2006/relationships/hyperlink" Target="https://vertuplus.ma/" TargetMode="External"/><Relationship Id="rId88" Type="http://schemas.openxmlformats.org/officeDocument/2006/relationships/hyperlink" Target="https://www.facebook.com/ads/library/?active_status=all&amp;ad_type=all&amp;country=MA&amp;view_all_page_id=165797230633712&amp;search_type=page&amp;media_type=all" TargetMode="External"/><Relationship Id="rId89" Type="http://schemas.openxmlformats.org/officeDocument/2006/relationships/hyperlink" Target="https://www.facebook.com/VERTUPLUS/" TargetMode="External"/><Relationship Id="rId90" Type="http://schemas.openxmlformats.org/officeDocument/2006/relationships/hyperlink" Target="https://atlaspure.shop/" TargetMode="External"/><Relationship Id="rId91" Type="http://schemas.openxmlformats.org/officeDocument/2006/relationships/hyperlink" Target="https://www.facebook.com/ads/library/?active_status=all&amp;ad_type=all&amp;country=MA&amp;view_all_page_id=1121071361086781&amp;search_type=page&amp;media_type=all" TargetMode="External"/><Relationship Id="rId92" Type="http://schemas.openxmlformats.org/officeDocument/2006/relationships/hyperlink" Target="https://www.facebook.com/61589575424606/" TargetMode="External"/><Relationship Id="rId93" Type="http://schemas.openxmlformats.org/officeDocument/2006/relationships/hyperlink" Target="https://drnutri.ma/" TargetMode="External"/><Relationship Id="rId94" Type="http://schemas.openxmlformats.org/officeDocument/2006/relationships/hyperlink" Target="https://www.facebook.com/ads/library/?active_status=all&amp;ad_type=all&amp;country=MA&amp;view_all_page_id=1114588561744749&amp;search_type=page&amp;media_type=all" TargetMode="External"/><Relationship Id="rId95" Type="http://schemas.openxmlformats.org/officeDocument/2006/relationships/hyperlink" Target="https://www.facebook.com/61590703043377/" TargetMode="External"/><Relationship Id="rId96"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3" min="2" style="0" width="16"/>
  </cols>
  <sheetData>
    <row r="1" customFormat="false" ht="16.15" hidden="false" customHeight="false" outlineLevel="0" collapsed="false">
      <c r="A1" s="1" t="s">
        <v>0</v>
      </c>
    </row>
    <row r="2" customFormat="false" ht="15" hidden="false" customHeight="false" outlineLevel="0" collapsed="false">
      <c r="A2" s="2" t="str">
        <f aca="false">"Research date: "&amp;TEXT('Notes &amp; method'!B3,"yyyy-mm-dd")</f>
        <v>Research date: 2026-10-04</v>
      </c>
    </row>
    <row r="3" customFormat="false" ht="15" hidden="false" customHeight="false" outlineLevel="0" collapsed="false">
      <c r="A3" s="3" t="s">
        <v>1</v>
      </c>
    </row>
    <row r="4" customFormat="false" ht="15" hidden="false" customHeight="false" outlineLevel="0" collapsed="false">
      <c r="A4" s="4" t="s">
        <v>2</v>
      </c>
      <c r="B4" s="5" t="n">
        <f aca="false">COUNTA(Stores!$B$2:$B$34)</f>
        <v>33</v>
      </c>
    </row>
    <row r="5" customFormat="false" ht="15" hidden="false" customHeight="false" outlineLevel="0" collapsed="false">
      <c r="A5" s="4" t="s">
        <v>3</v>
      </c>
      <c r="B5" s="5" t="n">
        <f aca="false">COUNTIF(Stores!$D$2:$D$34,"Yes*")</f>
        <v>9</v>
      </c>
    </row>
    <row r="6" customFormat="false" ht="15" hidden="false" customHeight="false" outlineLevel="0" collapsed="false">
      <c r="A6" s="4" t="s">
        <v>4</v>
      </c>
      <c r="B6" s="5" t="n">
        <f aca="false">AVERAGE(Stores!$G$2:$G$34)</f>
        <v>186.2</v>
      </c>
    </row>
    <row r="7" customFormat="false" ht="15" hidden="false" customHeight="false" outlineLevel="0" collapsed="false">
      <c r="A7" s="4" t="s">
        <v>5</v>
      </c>
      <c r="B7" s="5" t="n">
        <f aca="false">MEDIAN(Stores!$G$2:$G$34)</f>
        <v>190</v>
      </c>
    </row>
    <row r="8" customFormat="false" ht="15" hidden="false" customHeight="false" outlineLevel="0" collapsed="false">
      <c r="A8" s="4" t="s">
        <v>6</v>
      </c>
      <c r="B8" s="5" t="n">
        <f aca="false">MIN(Stores!$G$2:$G$34)</f>
        <v>69</v>
      </c>
    </row>
    <row r="9" customFormat="false" ht="15" hidden="false" customHeight="false" outlineLevel="0" collapsed="false">
      <c r="A9" s="4" t="s">
        <v>7</v>
      </c>
      <c r="B9" s="5" t="n">
        <f aca="false">MAX(Stores!$G$2:$G$34)</f>
        <v>319</v>
      </c>
    </row>
    <row r="10" customFormat="false" ht="15" hidden="false" customHeight="false" outlineLevel="0" collapsed="false">
      <c r="A10" s="4" t="s">
        <v>8</v>
      </c>
      <c r="B10" s="5" t="n">
        <f aca="false">SUM(Stores!$Q$2:$Q$34)</f>
        <v>2524</v>
      </c>
    </row>
    <row r="11" customFormat="false" ht="15" hidden="false" customHeight="false" outlineLevel="0" collapsed="false">
      <c r="A11" s="4" t="s">
        <v>9</v>
      </c>
      <c r="B11" s="5" t="n">
        <f aca="false">AVERAGE(Stores!$Q$2:$Q$34)</f>
        <v>76.4848484848485</v>
      </c>
    </row>
    <row r="12" customFormat="false" ht="15" hidden="false" customHeight="false" outlineLevel="0" collapsed="false">
      <c r="A12" s="4" t="s">
        <v>10</v>
      </c>
      <c r="B12" s="5" t="n">
        <f aca="false">AVERAGE(Stores!$P$2:$P$34)</f>
        <v>155.030303030303</v>
      </c>
    </row>
    <row r="14" customFormat="false" ht="15" hidden="false" customHeight="false" outlineLevel="0" collapsed="false">
      <c r="A14" s="3" t="s">
        <v>11</v>
      </c>
      <c r="B14" s="3" t="s">
        <v>12</v>
      </c>
    </row>
    <row r="15" customFormat="false" ht="15" hidden="false" customHeight="false" outlineLevel="0" collapsed="false">
      <c r="A15" s="4" t="s">
        <v>13</v>
      </c>
      <c r="B15" s="4" t="n">
        <f aca="false">COUNTIF(Stores!$L$2:$L$34,"French")</f>
        <v>16</v>
      </c>
    </row>
    <row r="16" customFormat="false" ht="15" hidden="false" customHeight="false" outlineLevel="0" collapsed="false">
      <c r="A16" s="4" t="s">
        <v>14</v>
      </c>
      <c r="B16" s="4" t="n">
        <f aca="false">COUNTIF(Stores!$L$2:$L$34,"Arabic")+COUNTIF(Stores!$L$2:$L$34,"Arabic (Darija)")</f>
        <v>5</v>
      </c>
    </row>
    <row r="17" customFormat="false" ht="15" hidden="false" customHeight="false" outlineLevel="0" collapsed="false">
      <c r="A17" s="4" t="s">
        <v>15</v>
      </c>
      <c r="B17" s="4" t="n">
        <f aca="false">COUNTIF(Stores!$L$2:$L$34,"*+*")</f>
        <v>8</v>
      </c>
    </row>
    <row r="18" customFormat="false" ht="15" hidden="false" customHeight="false" outlineLevel="0" collapsed="false">
      <c r="A18" s="4" t="s">
        <v>16</v>
      </c>
      <c r="B18" s="4" t="n">
        <f aca="false">COUNTIF(Stores!$L$2:$L$34,"No website*")</f>
        <v>4</v>
      </c>
    </row>
    <row r="21" customFormat="false" ht="15" hidden="false" customHeight="false" outlineLevel="0" collapsed="false">
      <c r="A21" s="3" t="s">
        <v>17</v>
      </c>
      <c r="B21" s="3" t="s">
        <v>18</v>
      </c>
      <c r="C21" s="3" t="s">
        <v>19</v>
      </c>
    </row>
    <row r="22" customFormat="false" ht="15" hidden="false" customHeight="false" outlineLevel="0" collapsed="false">
      <c r="A22" s="4" t="str">
        <f aca="false">IF(Stores!Q2="","",Stores!B2)</f>
        <v>Argivit Maroc (Argivitmaroc.official)</v>
      </c>
      <c r="B22" s="5" t="n">
        <f aca="false">IF(Stores!Q2="","",Stores!Q2)</f>
        <v>639</v>
      </c>
      <c r="C22" s="6" t="n">
        <f aca="false">IF(Stores!N2="","",Stores!N2)</f>
        <v>46225</v>
      </c>
    </row>
    <row r="23" customFormat="false" ht="15" hidden="false" customHeight="false" outlineLevel="0" collapsed="false">
      <c r="A23" s="4" t="str">
        <f aca="false">IF(Stores!Q3="","",Stores!B3)</f>
        <v>Argivit.com (2nd page)</v>
      </c>
      <c r="B23" s="5" t="n">
        <f aca="false">IF(Stores!Q3="","",Stores!Q3)</f>
        <v>352</v>
      </c>
      <c r="C23" s="6" t="n">
        <f aca="false">IF(Stores!N3="","",Stores!N3)</f>
        <v>46248</v>
      </c>
    </row>
    <row r="24" customFormat="false" ht="15" hidden="false" customHeight="false" outlineLevel="0" collapsed="false">
      <c r="A24" s="4" t="str">
        <f aca="false">IF(Stores!Q4="","",Stores!B4)</f>
        <v>Dr. Pops</v>
      </c>
      <c r="B24" s="5" t="n">
        <f aca="false">IF(Stores!Q4="","",Stores!Q4)</f>
        <v>246</v>
      </c>
      <c r="C24" s="6" t="n">
        <f aca="false">IF(Stores!N4="","",Stores!N4)</f>
        <v>46288</v>
      </c>
    </row>
    <row r="25" customFormat="false" ht="15" hidden="false" customHeight="false" outlineLevel="0" collapsed="false">
      <c r="A25" s="4" t="str">
        <f aca="false">IF(Stores!Q5="","",Stores!B5)</f>
        <v>Kivra</v>
      </c>
      <c r="B25" s="5" t="n">
        <f aca="false">IF(Stores!Q5="","",Stores!Q5)</f>
        <v>204</v>
      </c>
      <c r="C25" s="6" t="n">
        <f aca="false">IF(Stores!N5="","",Stores!N5)</f>
        <v>46044</v>
      </c>
    </row>
    <row r="26" customFormat="false" ht="15" hidden="false" customHeight="false" outlineLevel="0" collapsed="false">
      <c r="A26" s="4" t="str">
        <f aca="false">IF(Stores!Q6="","",Stores!B6)</f>
        <v>Capila</v>
      </c>
      <c r="B26" s="5" t="n">
        <f aca="false">IF(Stores!Q6="","",Stores!Q6)</f>
        <v>163</v>
      </c>
      <c r="C26" s="6" t="n">
        <f aca="false">IF(Stores!N6="","",Stores!N6)</f>
        <v>45730</v>
      </c>
    </row>
    <row r="27" customFormat="false" ht="15" hidden="false" customHeight="false" outlineLevel="0" collapsed="false">
      <c r="A27" s="4" t="str">
        <f aca="false">IF(Stores!Q7="","",Stores!B7)</f>
        <v>Toltna</v>
      </c>
      <c r="B27" s="5" t="n">
        <f aca="false">IF(Stores!Q7="","",Stores!Q7)</f>
        <v>151</v>
      </c>
      <c r="C27" s="6" t="n">
        <f aca="false">IF(Stores!N7="","",Stores!N7)</f>
        <v>46277</v>
      </c>
    </row>
    <row r="28" customFormat="false" ht="15" hidden="false" customHeight="false" outlineLevel="0" collapsed="false">
      <c r="A28" s="4" t="str">
        <f aca="false">IF(Stores!Q8="","",Stores!B8)</f>
        <v>HARD Morocco</v>
      </c>
      <c r="B28" s="5" t="n">
        <f aca="false">IF(Stores!Q8="","",Stores!Q8)</f>
        <v>145</v>
      </c>
      <c r="C28" s="6" t="n">
        <f aca="false">IF(Stores!N8="","",Stores!N8)</f>
        <v>46246</v>
      </c>
    </row>
    <row r="29" customFormat="false" ht="15" hidden="false" customHeight="false" outlineLevel="0" collapsed="false">
      <c r="A29" s="4" t="str">
        <f aca="false">IF(Stores!Q9="","",Stores!B9)</f>
        <v>Naturea Maroc</v>
      </c>
      <c r="B29" s="5" t="n">
        <f aca="false">IF(Stores!Q9="","",Stores!Q9)</f>
        <v>105</v>
      </c>
      <c r="C29" s="6" t="n">
        <f aca="false">IF(Stores!N9="","",Stores!N9)</f>
        <v>46267</v>
      </c>
    </row>
    <row r="30" customFormat="false" ht="15" hidden="false" customHeight="false" outlineLevel="0" collapsed="false">
      <c r="A30" s="4" t="str">
        <f aca="false">IF(Stores!Q10="","",Stores!B10)</f>
        <v>Gleamy</v>
      </c>
      <c r="B30" s="5" t="n">
        <f aca="false">IF(Stores!Q10="","",Stores!Q10)</f>
        <v>65</v>
      </c>
      <c r="C30" s="6" t="n">
        <f aca="false">IF(Stores!N10="","",Stores!N10)</f>
        <v>45616</v>
      </c>
    </row>
    <row r="31" customFormat="false" ht="15" hidden="false" customHeight="false" outlineLevel="0" collapsed="false">
      <c r="A31" s="4" t="str">
        <f aca="false">IF(Stores!Q11="","",Stores!B11)</f>
        <v>Melixir</v>
      </c>
      <c r="B31" s="5" t="n">
        <f aca="false">IF(Stores!Q11="","",Stores!Q11)</f>
        <v>60</v>
      </c>
      <c r="C31" s="6" t="n">
        <f aca="false">IF(Stores!N11="","",Stores!N11)</f>
        <v>46075</v>
      </c>
    </row>
    <row r="33" customFormat="false" ht="15" hidden="false" customHeight="false" outlineLevel="0" collapsed="false">
      <c r="A33"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3" min="2" style="0" width="26"/>
    <col collapsed="false" customWidth="true" hidden="false" outlineLevel="0" max="4" min="4" style="0" width="11"/>
    <col collapsed="false" customWidth="true" hidden="false" outlineLevel="0" max="5" min="5" style="0" width="24"/>
    <col collapsed="false" customWidth="true" hidden="false" outlineLevel="0" max="6" min="6" style="0" width="44"/>
    <col collapsed="false" customWidth="true" hidden="false" outlineLevel="0" max="7" min="7" style="0" width="11"/>
    <col collapsed="false" customWidth="true" hidden="false" outlineLevel="0" max="8" min="8" style="0" width="30"/>
    <col collapsed="false" customWidth="true" hidden="false" outlineLevel="0" max="9" min="9" style="0" width="48"/>
    <col collapsed="false" customWidth="true" hidden="false" outlineLevel="0" max="10" min="10" style="0" width="18"/>
    <col collapsed="false" customWidth="true" hidden="false" outlineLevel="0" max="12" min="11" style="0" width="22"/>
    <col collapsed="false" customWidth="true" hidden="false" outlineLevel="0" max="14" min="13" style="0" width="13"/>
    <col collapsed="false" customWidth="true" hidden="false" outlineLevel="0" max="15" min="15" style="0" width="10"/>
    <col collapsed="false" customWidth="true" hidden="false" outlineLevel="0" max="17" min="16" style="0" width="11"/>
    <col collapsed="false" customWidth="true" hidden="false" outlineLevel="0" max="20" min="18" style="0" width="13"/>
    <col collapsed="false" customWidth="true" hidden="false" outlineLevel="0" max="21" min="21" style="0" width="10"/>
    <col collapsed="false" customWidth="true" hidden="false" outlineLevel="0" max="23" min="22" style="0" width="16"/>
    <col collapsed="false" customWidth="true" hidden="false" outlineLevel="0" max="24" min="24" style="0" width="22"/>
  </cols>
  <sheetData>
    <row r="1" customFormat="false" ht="42" hidden="false" customHeight="true" outlineLevel="0" collapsed="false">
      <c r="A1" s="7" t="s">
        <v>21</v>
      </c>
      <c r="B1" s="7" t="s">
        <v>22</v>
      </c>
      <c r="C1" s="7" t="s">
        <v>23</v>
      </c>
      <c r="D1" s="7" t="s">
        <v>24</v>
      </c>
      <c r="E1" s="7" t="s">
        <v>25</v>
      </c>
      <c r="F1" s="7" t="s">
        <v>26</v>
      </c>
      <c r="G1" s="7" t="s">
        <v>27</v>
      </c>
      <c r="H1" s="7" t="s">
        <v>28</v>
      </c>
      <c r="I1" s="7" t="s">
        <v>29</v>
      </c>
      <c r="J1" s="7" t="s">
        <v>30</v>
      </c>
      <c r="K1" s="7" t="s">
        <v>31</v>
      </c>
      <c r="L1" s="7" t="s">
        <v>11</v>
      </c>
      <c r="M1" s="7" t="s">
        <v>32</v>
      </c>
      <c r="N1" s="7" t="s">
        <v>33</v>
      </c>
      <c r="O1" s="7" t="s">
        <v>34</v>
      </c>
      <c r="P1" s="7" t="s">
        <v>35</v>
      </c>
      <c r="Q1" s="7" t="s">
        <v>36</v>
      </c>
      <c r="R1" s="7" t="s">
        <v>37</v>
      </c>
      <c r="S1" s="7" t="s">
        <v>38</v>
      </c>
      <c r="T1" s="7" t="s">
        <v>39</v>
      </c>
      <c r="U1" s="7" t="s">
        <v>40</v>
      </c>
      <c r="V1" s="7" t="s">
        <v>41</v>
      </c>
      <c r="W1" s="7" t="s">
        <v>42</v>
      </c>
      <c r="X1" s="7" t="s">
        <v>43</v>
      </c>
    </row>
    <row r="2" customFormat="false" ht="23.85" hidden="false" customHeight="false" outlineLevel="0" collapsed="false">
      <c r="A2" s="8" t="n">
        <v>1</v>
      </c>
      <c r="B2" s="8" t="s">
        <v>44</v>
      </c>
      <c r="C2" s="9" t="s">
        <v>45</v>
      </c>
      <c r="D2" s="8" t="s">
        <v>46</v>
      </c>
      <c r="E2" s="10" t="s">
        <v>47</v>
      </c>
      <c r="F2" s="9" t="s">
        <v>48</v>
      </c>
      <c r="G2" s="11" t="n">
        <v>299</v>
      </c>
      <c r="H2" s="9" t="s">
        <v>49</v>
      </c>
      <c r="I2" s="9" t="s">
        <v>50</v>
      </c>
      <c r="J2" s="9" t="s">
        <v>51</v>
      </c>
      <c r="K2" s="9" t="s">
        <v>52</v>
      </c>
      <c r="L2" s="9" t="s">
        <v>53</v>
      </c>
      <c r="M2" s="8" t="s">
        <v>54</v>
      </c>
      <c r="N2" s="12" t="n">
        <v>46225</v>
      </c>
      <c r="O2" s="8" t="s">
        <v>55</v>
      </c>
      <c r="P2" s="11" t="n">
        <f aca="false">IF(N2="","",'Notes &amp; method'!$B$3-N2)</f>
        <v>74</v>
      </c>
      <c r="Q2" s="11" t="n">
        <v>639</v>
      </c>
      <c r="R2" s="12" t="n">
        <v>46298</v>
      </c>
      <c r="S2" s="12" t="n">
        <v>45867</v>
      </c>
      <c r="T2" s="12" t="n">
        <v>45915</v>
      </c>
      <c r="U2" s="11" t="n">
        <v>277</v>
      </c>
      <c r="V2" s="10" t="s">
        <v>56</v>
      </c>
      <c r="W2" s="10" t="s">
        <v>42</v>
      </c>
      <c r="X2" s="9" t="s">
        <v>57</v>
      </c>
    </row>
    <row r="3" customFormat="false" ht="23.85" hidden="false" customHeight="false" outlineLevel="0" collapsed="false">
      <c r="A3" s="8" t="n">
        <v>2</v>
      </c>
      <c r="B3" s="8" t="s">
        <v>58</v>
      </c>
      <c r="C3" s="9" t="s">
        <v>45</v>
      </c>
      <c r="D3" s="8" t="s">
        <v>46</v>
      </c>
      <c r="E3" s="10" t="s">
        <v>47</v>
      </c>
      <c r="F3" s="9" t="s">
        <v>59</v>
      </c>
      <c r="G3" s="11" t="n">
        <v>299</v>
      </c>
      <c r="H3" s="9" t="s">
        <v>49</v>
      </c>
      <c r="I3" s="9" t="s">
        <v>60</v>
      </c>
      <c r="J3" s="9" t="s">
        <v>51</v>
      </c>
      <c r="K3" s="9" t="s">
        <v>52</v>
      </c>
      <c r="L3" s="9" t="s">
        <v>53</v>
      </c>
      <c r="M3" s="8" t="s">
        <v>54</v>
      </c>
      <c r="N3" s="12" t="n">
        <v>46248</v>
      </c>
      <c r="O3" s="8" t="s">
        <v>55</v>
      </c>
      <c r="P3" s="11" t="n">
        <f aca="false">IF(N3="","",'Notes &amp; method'!$B$3-N3)</f>
        <v>51</v>
      </c>
      <c r="Q3" s="11" t="n">
        <v>352</v>
      </c>
      <c r="R3" s="12" t="n">
        <v>46298</v>
      </c>
      <c r="S3" s="12" t="n">
        <v>45867</v>
      </c>
      <c r="T3" s="12" t="n">
        <v>45915</v>
      </c>
      <c r="U3" s="11" t="n">
        <v>173</v>
      </c>
      <c r="V3" s="10" t="s">
        <v>56</v>
      </c>
      <c r="W3" s="10" t="s">
        <v>42</v>
      </c>
      <c r="X3" s="9" t="s">
        <v>61</v>
      </c>
    </row>
    <row r="4" customFormat="false" ht="15" hidden="false" customHeight="false" outlineLevel="0" collapsed="false">
      <c r="A4" s="8" t="n">
        <v>3</v>
      </c>
      <c r="B4" s="8" t="s">
        <v>62</v>
      </c>
      <c r="C4" s="9" t="s">
        <v>63</v>
      </c>
      <c r="D4" s="8" t="s">
        <v>64</v>
      </c>
      <c r="E4" s="10" t="s">
        <v>65</v>
      </c>
      <c r="F4" s="9" t="s">
        <v>66</v>
      </c>
      <c r="G4" s="11" t="n">
        <v>199</v>
      </c>
      <c r="H4" s="9" t="s">
        <v>67</v>
      </c>
      <c r="I4" s="9" t="s">
        <v>68</v>
      </c>
      <c r="J4" s="9" t="s">
        <v>69</v>
      </c>
      <c r="K4" s="9"/>
      <c r="L4" s="9" t="s">
        <v>70</v>
      </c>
      <c r="M4" s="8" t="s">
        <v>54</v>
      </c>
      <c r="N4" s="12" t="n">
        <v>46288</v>
      </c>
      <c r="O4" s="8" t="s">
        <v>55</v>
      </c>
      <c r="P4" s="11" t="n">
        <f aca="false">IF(N4="","",'Notes &amp; method'!$B$3-N4)</f>
        <v>11</v>
      </c>
      <c r="Q4" s="11" t="n">
        <v>246</v>
      </c>
      <c r="R4" s="12" t="n">
        <v>46293</v>
      </c>
      <c r="S4" s="12" t="n">
        <v>46288</v>
      </c>
      <c r="T4" s="12"/>
      <c r="U4" s="11" t="n">
        <v>61</v>
      </c>
      <c r="V4" s="10" t="s">
        <v>56</v>
      </c>
      <c r="W4" s="10" t="s">
        <v>42</v>
      </c>
      <c r="X4" s="9" t="s">
        <v>65</v>
      </c>
    </row>
    <row r="5" customFormat="false" ht="23.85" hidden="false" customHeight="false" outlineLevel="0" collapsed="false">
      <c r="A5" s="8" t="n">
        <v>4</v>
      </c>
      <c r="B5" s="8" t="s">
        <v>71</v>
      </c>
      <c r="C5" s="9" t="s">
        <v>72</v>
      </c>
      <c r="D5" s="8" t="s">
        <v>73</v>
      </c>
      <c r="E5" s="10" t="s">
        <v>74</v>
      </c>
      <c r="F5" s="9" t="s">
        <v>75</v>
      </c>
      <c r="G5" s="11" t="n">
        <v>199</v>
      </c>
      <c r="H5" s="9" t="s">
        <v>76</v>
      </c>
      <c r="I5" s="9" t="s">
        <v>77</v>
      </c>
      <c r="J5" s="9"/>
      <c r="K5" s="9" t="s">
        <v>78</v>
      </c>
      <c r="L5" s="9" t="s">
        <v>79</v>
      </c>
      <c r="M5" s="8" t="s">
        <v>80</v>
      </c>
      <c r="N5" s="12" t="n">
        <v>46044</v>
      </c>
      <c r="O5" s="8" t="s">
        <v>81</v>
      </c>
      <c r="P5" s="11" t="n">
        <f aca="false">IF(N5="","",'Notes &amp; method'!$B$3-N5)</f>
        <v>255</v>
      </c>
      <c r="Q5" s="11" t="n">
        <v>204</v>
      </c>
      <c r="R5" s="12" t="n">
        <v>46292</v>
      </c>
      <c r="S5" s="12"/>
      <c r="T5" s="12"/>
      <c r="U5" s="11" t="n">
        <v>1057</v>
      </c>
      <c r="V5" s="10" t="s">
        <v>56</v>
      </c>
      <c r="W5" s="10" t="s">
        <v>42</v>
      </c>
      <c r="X5" s="9" t="s">
        <v>82</v>
      </c>
    </row>
    <row r="6" customFormat="false" ht="23.85" hidden="false" customHeight="false" outlineLevel="0" collapsed="false">
      <c r="A6" s="8" t="n">
        <v>5</v>
      </c>
      <c r="B6" s="8" t="s">
        <v>83</v>
      </c>
      <c r="C6" s="9" t="s">
        <v>84</v>
      </c>
      <c r="D6" s="8" t="s">
        <v>73</v>
      </c>
      <c r="E6" s="10" t="s">
        <v>85</v>
      </c>
      <c r="F6" s="9" t="s">
        <v>86</v>
      </c>
      <c r="G6" s="11" t="n">
        <v>174</v>
      </c>
      <c r="H6" s="9" t="s">
        <v>87</v>
      </c>
      <c r="I6" s="9" t="s">
        <v>88</v>
      </c>
      <c r="J6" s="9"/>
      <c r="K6" s="9"/>
      <c r="L6" s="9" t="s">
        <v>70</v>
      </c>
      <c r="M6" s="8" t="s">
        <v>54</v>
      </c>
      <c r="N6" s="12" t="n">
        <v>45730</v>
      </c>
      <c r="O6" s="8" t="s">
        <v>81</v>
      </c>
      <c r="P6" s="11" t="n">
        <f aca="false">IF(N6="","",'Notes &amp; method'!$B$3-N6)</f>
        <v>569</v>
      </c>
      <c r="Q6" s="11" t="n">
        <v>163</v>
      </c>
      <c r="R6" s="12" t="n">
        <v>46249</v>
      </c>
      <c r="S6" s="12" t="n">
        <v>45694</v>
      </c>
      <c r="T6" s="12"/>
      <c r="U6" s="11" t="n">
        <v>16681</v>
      </c>
      <c r="V6" s="10" t="s">
        <v>56</v>
      </c>
      <c r="W6" s="10" t="s">
        <v>42</v>
      </c>
      <c r="X6" s="9" t="s">
        <v>85</v>
      </c>
    </row>
    <row r="7" customFormat="false" ht="23.85" hidden="false" customHeight="false" outlineLevel="0" collapsed="false">
      <c r="A7" s="8" t="n">
        <v>6</v>
      </c>
      <c r="B7" s="8" t="s">
        <v>89</v>
      </c>
      <c r="C7" s="9" t="s">
        <v>90</v>
      </c>
      <c r="D7" s="8" t="s">
        <v>73</v>
      </c>
      <c r="E7" s="10" t="s">
        <v>91</v>
      </c>
      <c r="F7" s="9" t="s">
        <v>92</v>
      </c>
      <c r="G7" s="11" t="n">
        <v>319</v>
      </c>
      <c r="H7" s="9" t="s">
        <v>93</v>
      </c>
      <c r="I7" s="9" t="s">
        <v>94</v>
      </c>
      <c r="J7" s="9"/>
      <c r="K7" s="9"/>
      <c r="L7" s="9" t="s">
        <v>95</v>
      </c>
      <c r="M7" s="8" t="s">
        <v>54</v>
      </c>
      <c r="N7" s="12" t="n">
        <v>46277</v>
      </c>
      <c r="O7" s="8" t="s">
        <v>55</v>
      </c>
      <c r="P7" s="11" t="n">
        <f aca="false">IF(N7="","",'Notes &amp; method'!$B$3-N7)</f>
        <v>22</v>
      </c>
      <c r="Q7" s="11" t="n">
        <v>151</v>
      </c>
      <c r="R7" s="12" t="n">
        <v>46296</v>
      </c>
      <c r="S7" s="12" t="n">
        <v>46163</v>
      </c>
      <c r="T7" s="12" t="n">
        <v>46144</v>
      </c>
      <c r="U7" s="11" t="n">
        <v>6642</v>
      </c>
      <c r="V7" s="10" t="s">
        <v>56</v>
      </c>
      <c r="W7" s="10" t="s">
        <v>42</v>
      </c>
      <c r="X7" s="9" t="s">
        <v>96</v>
      </c>
    </row>
    <row r="8" customFormat="false" ht="35.05" hidden="false" customHeight="false" outlineLevel="0" collapsed="false">
      <c r="A8" s="8" t="n">
        <v>7</v>
      </c>
      <c r="B8" s="8" t="s">
        <v>97</v>
      </c>
      <c r="C8" s="9" t="s">
        <v>98</v>
      </c>
      <c r="D8" s="8" t="s">
        <v>46</v>
      </c>
      <c r="E8" s="10" t="s">
        <v>99</v>
      </c>
      <c r="F8" s="9" t="s">
        <v>100</v>
      </c>
      <c r="G8" s="11" t="n">
        <v>95</v>
      </c>
      <c r="H8" s="9" t="s">
        <v>101</v>
      </c>
      <c r="I8" s="9" t="s">
        <v>102</v>
      </c>
      <c r="J8" s="9"/>
      <c r="K8" s="9" t="s">
        <v>103</v>
      </c>
      <c r="L8" s="9" t="s">
        <v>70</v>
      </c>
      <c r="M8" s="8" t="s">
        <v>54</v>
      </c>
      <c r="N8" s="12" t="n">
        <v>46246</v>
      </c>
      <c r="O8" s="8" t="s">
        <v>55</v>
      </c>
      <c r="P8" s="11" t="n">
        <f aca="false">IF(N8="","",'Notes &amp; method'!$B$3-N8)</f>
        <v>53</v>
      </c>
      <c r="Q8" s="11" t="n">
        <v>145</v>
      </c>
      <c r="R8" s="12" t="n">
        <v>46291</v>
      </c>
      <c r="S8" s="12" t="n">
        <v>45641</v>
      </c>
      <c r="T8" s="12"/>
      <c r="U8" s="11" t="n">
        <v>57</v>
      </c>
      <c r="V8" s="10" t="s">
        <v>56</v>
      </c>
      <c r="W8" s="10" t="s">
        <v>42</v>
      </c>
      <c r="X8" s="9" t="s">
        <v>99</v>
      </c>
    </row>
    <row r="9" customFormat="false" ht="15" hidden="false" customHeight="false" outlineLevel="0" collapsed="false">
      <c r="A9" s="8" t="n">
        <v>8</v>
      </c>
      <c r="B9" s="8" t="s">
        <v>104</v>
      </c>
      <c r="C9" s="9" t="s">
        <v>105</v>
      </c>
      <c r="D9" s="8" t="s">
        <v>73</v>
      </c>
      <c r="E9" s="10" t="s">
        <v>106</v>
      </c>
      <c r="F9" s="9" t="s">
        <v>107</v>
      </c>
      <c r="G9" s="11" t="n">
        <v>239</v>
      </c>
      <c r="H9" s="9" t="s">
        <v>108</v>
      </c>
      <c r="I9" s="9" t="s">
        <v>109</v>
      </c>
      <c r="J9" s="9" t="s">
        <v>110</v>
      </c>
      <c r="K9" s="9" t="s">
        <v>78</v>
      </c>
      <c r="L9" s="9" t="s">
        <v>70</v>
      </c>
      <c r="M9" s="8" t="s">
        <v>54</v>
      </c>
      <c r="N9" s="12" t="n">
        <v>46267</v>
      </c>
      <c r="O9" s="8" t="s">
        <v>55</v>
      </c>
      <c r="P9" s="11" t="n">
        <f aca="false">IF(N9="","",'Notes &amp; method'!$B$3-N9)</f>
        <v>32</v>
      </c>
      <c r="Q9" s="11" t="n">
        <v>105</v>
      </c>
      <c r="R9" s="12" t="n">
        <v>46293</v>
      </c>
      <c r="S9" s="12"/>
      <c r="T9" s="12" t="n">
        <v>46215</v>
      </c>
      <c r="U9" s="11" t="n">
        <v>424</v>
      </c>
      <c r="V9" s="10" t="s">
        <v>56</v>
      </c>
      <c r="W9" s="10" t="s">
        <v>42</v>
      </c>
      <c r="X9" s="9" t="s">
        <v>106</v>
      </c>
    </row>
    <row r="10" customFormat="false" ht="23.85" hidden="false" customHeight="false" outlineLevel="0" collapsed="false">
      <c r="A10" s="8" t="n">
        <v>9</v>
      </c>
      <c r="B10" s="8" t="s">
        <v>111</v>
      </c>
      <c r="C10" s="9" t="s">
        <v>112</v>
      </c>
      <c r="D10" s="8" t="s">
        <v>73</v>
      </c>
      <c r="E10" s="10" t="s">
        <v>113</v>
      </c>
      <c r="F10" s="9" t="s">
        <v>114</v>
      </c>
      <c r="G10" s="11" t="n">
        <v>199</v>
      </c>
      <c r="H10" s="9" t="s">
        <v>115</v>
      </c>
      <c r="I10" s="9" t="s">
        <v>116</v>
      </c>
      <c r="J10" s="9"/>
      <c r="K10" s="9" t="s">
        <v>103</v>
      </c>
      <c r="L10" s="9" t="s">
        <v>53</v>
      </c>
      <c r="M10" s="8" t="s">
        <v>54</v>
      </c>
      <c r="N10" s="12" t="n">
        <v>45616</v>
      </c>
      <c r="O10" s="8" t="s">
        <v>55</v>
      </c>
      <c r="P10" s="11" t="n">
        <f aca="false">IF(N10="","",'Notes &amp; method'!$B$3-N10)</f>
        <v>683</v>
      </c>
      <c r="Q10" s="11" t="n">
        <v>65</v>
      </c>
      <c r="R10" s="12" t="n">
        <v>46295</v>
      </c>
      <c r="S10" s="12"/>
      <c r="T10" s="12"/>
      <c r="U10" s="11" t="n">
        <v>27602</v>
      </c>
      <c r="V10" s="10" t="s">
        <v>56</v>
      </c>
      <c r="W10" s="10" t="s">
        <v>42</v>
      </c>
      <c r="X10" s="9" t="s">
        <v>117</v>
      </c>
    </row>
    <row r="11" customFormat="false" ht="15" hidden="false" customHeight="false" outlineLevel="0" collapsed="false">
      <c r="A11" s="8" t="n">
        <v>10</v>
      </c>
      <c r="B11" s="8" t="s">
        <v>118</v>
      </c>
      <c r="C11" s="9" t="s">
        <v>119</v>
      </c>
      <c r="D11" s="8" t="s">
        <v>73</v>
      </c>
      <c r="E11" s="10" t="s">
        <v>120</v>
      </c>
      <c r="F11" s="9" t="s">
        <v>121</v>
      </c>
      <c r="G11" s="11" t="n">
        <v>239</v>
      </c>
      <c r="H11" s="9" t="s">
        <v>122</v>
      </c>
      <c r="I11" s="9" t="s">
        <v>68</v>
      </c>
      <c r="J11" s="9" t="s">
        <v>110</v>
      </c>
      <c r="K11" s="9" t="s">
        <v>52</v>
      </c>
      <c r="L11" s="9" t="s">
        <v>70</v>
      </c>
      <c r="M11" s="8" t="s">
        <v>54</v>
      </c>
      <c r="N11" s="12" t="n">
        <v>46075</v>
      </c>
      <c r="O11" s="8" t="s">
        <v>55</v>
      </c>
      <c r="P11" s="11" t="n">
        <f aca="false">IF(N11="","",'Notes &amp; method'!$B$3-N11)</f>
        <v>224</v>
      </c>
      <c r="Q11" s="11" t="n">
        <v>60</v>
      </c>
      <c r="R11" s="12" t="n">
        <v>46291</v>
      </c>
      <c r="S11" s="12" t="n">
        <v>46062</v>
      </c>
      <c r="T11" s="12" t="n">
        <v>46062</v>
      </c>
      <c r="U11" s="11" t="n">
        <v>1168</v>
      </c>
      <c r="V11" s="10" t="s">
        <v>56</v>
      </c>
      <c r="W11" s="10" t="s">
        <v>42</v>
      </c>
      <c r="X11" s="9" t="s">
        <v>120</v>
      </c>
    </row>
    <row r="12" customFormat="false" ht="23.85" hidden="false" customHeight="false" outlineLevel="0" collapsed="false">
      <c r="A12" s="8" t="n">
        <v>11</v>
      </c>
      <c r="B12" s="8" t="s">
        <v>123</v>
      </c>
      <c r="C12" s="9" t="s">
        <v>124</v>
      </c>
      <c r="D12" s="8" t="s">
        <v>46</v>
      </c>
      <c r="E12" s="10" t="s">
        <v>125</v>
      </c>
      <c r="F12" s="9" t="s">
        <v>126</v>
      </c>
      <c r="G12" s="11" t="n">
        <v>229</v>
      </c>
      <c r="H12" s="9" t="s">
        <v>127</v>
      </c>
      <c r="I12" s="9" t="s">
        <v>128</v>
      </c>
      <c r="J12" s="9" t="s">
        <v>69</v>
      </c>
      <c r="K12" s="9" t="s">
        <v>78</v>
      </c>
      <c r="L12" s="9" t="s">
        <v>70</v>
      </c>
      <c r="M12" s="8" t="s">
        <v>54</v>
      </c>
      <c r="N12" s="12" t="n">
        <v>46188</v>
      </c>
      <c r="O12" s="8" t="s">
        <v>55</v>
      </c>
      <c r="P12" s="11" t="n">
        <f aca="false">IF(N12="","",'Notes &amp; method'!$B$3-N12)</f>
        <v>111</v>
      </c>
      <c r="Q12" s="11" t="n">
        <v>58</v>
      </c>
      <c r="R12" s="12" t="n">
        <v>46290</v>
      </c>
      <c r="S12" s="12" t="n">
        <v>45903</v>
      </c>
      <c r="T12" s="12" t="n">
        <v>45847</v>
      </c>
      <c r="U12" s="11" t="n">
        <v>580</v>
      </c>
      <c r="V12" s="10" t="s">
        <v>56</v>
      </c>
      <c r="W12" s="10" t="s">
        <v>42</v>
      </c>
      <c r="X12" s="9" t="s">
        <v>125</v>
      </c>
    </row>
    <row r="13" customFormat="false" ht="23.85" hidden="false" customHeight="false" outlineLevel="0" collapsed="false">
      <c r="A13" s="8" t="n">
        <v>12</v>
      </c>
      <c r="B13" s="8" t="s">
        <v>129</v>
      </c>
      <c r="C13" s="9" t="s">
        <v>72</v>
      </c>
      <c r="D13" s="8" t="s">
        <v>73</v>
      </c>
      <c r="E13" s="10" t="s">
        <v>130</v>
      </c>
      <c r="F13" s="9" t="s">
        <v>131</v>
      </c>
      <c r="G13" s="11" t="n">
        <v>190</v>
      </c>
      <c r="H13" s="9" t="s">
        <v>132</v>
      </c>
      <c r="I13" s="9" t="s">
        <v>133</v>
      </c>
      <c r="J13" s="9"/>
      <c r="K13" s="9"/>
      <c r="L13" s="9" t="s">
        <v>79</v>
      </c>
      <c r="M13" s="8" t="s">
        <v>80</v>
      </c>
      <c r="N13" s="12" t="n">
        <v>45362</v>
      </c>
      <c r="O13" s="8" t="s">
        <v>55</v>
      </c>
      <c r="P13" s="11" t="n">
        <f aca="false">IF(N13="","",'Notes &amp; method'!$B$3-N13)</f>
        <v>937</v>
      </c>
      <c r="Q13" s="11" t="n">
        <v>49</v>
      </c>
      <c r="R13" s="12" t="n">
        <v>46292</v>
      </c>
      <c r="S13" s="12"/>
      <c r="T13" s="12" t="n">
        <v>44936</v>
      </c>
      <c r="U13" s="11" t="n">
        <v>854596</v>
      </c>
      <c r="V13" s="10" t="s">
        <v>56</v>
      </c>
      <c r="W13" s="10" t="s">
        <v>42</v>
      </c>
      <c r="X13" s="9" t="s">
        <v>134</v>
      </c>
    </row>
    <row r="14" customFormat="false" ht="23.85" hidden="false" customHeight="false" outlineLevel="0" collapsed="false">
      <c r="A14" s="8" t="n">
        <v>13</v>
      </c>
      <c r="B14" s="8" t="s">
        <v>135</v>
      </c>
      <c r="C14" s="9" t="s">
        <v>136</v>
      </c>
      <c r="D14" s="8" t="s">
        <v>137</v>
      </c>
      <c r="E14" s="10" t="s">
        <v>138</v>
      </c>
      <c r="F14" s="9" t="s">
        <v>139</v>
      </c>
      <c r="G14" s="11"/>
      <c r="H14" s="9" t="s">
        <v>140</v>
      </c>
      <c r="I14" s="9" t="s">
        <v>141</v>
      </c>
      <c r="J14" s="9"/>
      <c r="K14" s="9"/>
      <c r="L14" s="9" t="s">
        <v>53</v>
      </c>
      <c r="M14" s="8" t="s">
        <v>142</v>
      </c>
      <c r="N14" s="12" t="n">
        <v>46290</v>
      </c>
      <c r="O14" s="8" t="s">
        <v>55</v>
      </c>
      <c r="P14" s="11" t="n">
        <f aca="false">IF(N14="","",'Notes &amp; method'!$B$3-N14)</f>
        <v>9</v>
      </c>
      <c r="Q14" s="11" t="n">
        <v>43</v>
      </c>
      <c r="R14" s="12" t="n">
        <v>46297</v>
      </c>
      <c r="S14" s="12"/>
      <c r="T14" s="12" t="n">
        <v>44883</v>
      </c>
      <c r="U14" s="11" t="n">
        <v>4410</v>
      </c>
      <c r="V14" s="10" t="s">
        <v>56</v>
      </c>
      <c r="W14" s="10" t="s">
        <v>42</v>
      </c>
      <c r="X14" s="9" t="s">
        <v>138</v>
      </c>
    </row>
    <row r="15" customFormat="false" ht="23.85" hidden="false" customHeight="false" outlineLevel="0" collapsed="false">
      <c r="A15" s="8" t="n">
        <v>14</v>
      </c>
      <c r="B15" s="8" t="s">
        <v>143</v>
      </c>
      <c r="C15" s="9" t="s">
        <v>144</v>
      </c>
      <c r="D15" s="8" t="s">
        <v>46</v>
      </c>
      <c r="E15" s="10" t="s">
        <v>145</v>
      </c>
      <c r="F15" s="9" t="s">
        <v>146</v>
      </c>
      <c r="G15" s="11" t="n">
        <v>289</v>
      </c>
      <c r="H15" s="9" t="s">
        <v>147</v>
      </c>
      <c r="I15" s="9" t="s">
        <v>148</v>
      </c>
      <c r="J15" s="9"/>
      <c r="K15" s="9" t="s">
        <v>52</v>
      </c>
      <c r="L15" s="9" t="s">
        <v>70</v>
      </c>
      <c r="M15" s="8" t="s">
        <v>54</v>
      </c>
      <c r="N15" s="12" t="n">
        <v>46261</v>
      </c>
      <c r="O15" s="8" t="s">
        <v>55</v>
      </c>
      <c r="P15" s="11" t="n">
        <f aca="false">IF(N15="","",'Notes &amp; method'!$B$3-N15)</f>
        <v>38</v>
      </c>
      <c r="Q15" s="11" t="n">
        <v>39</v>
      </c>
      <c r="R15" s="12" t="n">
        <v>46294</v>
      </c>
      <c r="S15" s="12" t="n">
        <v>46207</v>
      </c>
      <c r="T15" s="12" t="n">
        <v>46147</v>
      </c>
      <c r="U15" s="11" t="n">
        <v>153063</v>
      </c>
      <c r="V15" s="10" t="s">
        <v>56</v>
      </c>
      <c r="W15" s="10" t="s">
        <v>42</v>
      </c>
      <c r="X15" s="9" t="s">
        <v>145</v>
      </c>
    </row>
    <row r="16" customFormat="false" ht="15" hidden="false" customHeight="false" outlineLevel="0" collapsed="false">
      <c r="A16" s="8" t="n">
        <v>15</v>
      </c>
      <c r="B16" s="8" t="s">
        <v>149</v>
      </c>
      <c r="C16" s="9" t="s">
        <v>150</v>
      </c>
      <c r="D16" s="8" t="s">
        <v>73</v>
      </c>
      <c r="E16" s="8"/>
      <c r="F16" s="9" t="s">
        <v>151</v>
      </c>
      <c r="G16" s="11"/>
      <c r="H16" s="9" t="s">
        <v>152</v>
      </c>
      <c r="I16" s="9" t="s">
        <v>153</v>
      </c>
      <c r="J16" s="9"/>
      <c r="K16" s="9" t="s">
        <v>52</v>
      </c>
      <c r="L16" s="9" t="s">
        <v>154</v>
      </c>
      <c r="M16" s="8" t="s">
        <v>155</v>
      </c>
      <c r="N16" s="12" t="n">
        <v>46274</v>
      </c>
      <c r="O16" s="8" t="s">
        <v>55</v>
      </c>
      <c r="P16" s="11" t="n">
        <f aca="false">IF(N16="","",'Notes &amp; method'!$B$3-N16)</f>
        <v>25</v>
      </c>
      <c r="Q16" s="11" t="n">
        <v>38</v>
      </c>
      <c r="R16" s="12" t="n">
        <v>46295</v>
      </c>
      <c r="S16" s="12"/>
      <c r="T16" s="12"/>
      <c r="U16" s="11" t="n">
        <v>452</v>
      </c>
      <c r="V16" s="10" t="s">
        <v>56</v>
      </c>
      <c r="W16" s="10" t="s">
        <v>42</v>
      </c>
      <c r="X16" s="9" t="s">
        <v>156</v>
      </c>
    </row>
    <row r="17" customFormat="false" ht="15" hidden="false" customHeight="false" outlineLevel="0" collapsed="false">
      <c r="A17" s="8" t="n">
        <v>16</v>
      </c>
      <c r="B17" s="8" t="s">
        <v>157</v>
      </c>
      <c r="C17" s="9" t="s">
        <v>158</v>
      </c>
      <c r="D17" s="8" t="s">
        <v>73</v>
      </c>
      <c r="E17" s="10" t="s">
        <v>159</v>
      </c>
      <c r="F17" s="9" t="s">
        <v>160</v>
      </c>
      <c r="G17" s="11"/>
      <c r="H17" s="9" t="s">
        <v>161</v>
      </c>
      <c r="I17" s="9"/>
      <c r="J17" s="9"/>
      <c r="K17" s="9" t="s">
        <v>103</v>
      </c>
      <c r="L17" s="9" t="s">
        <v>70</v>
      </c>
      <c r="M17" s="8" t="s">
        <v>162</v>
      </c>
      <c r="N17" s="12" t="n">
        <v>46091</v>
      </c>
      <c r="O17" s="8" t="s">
        <v>55</v>
      </c>
      <c r="P17" s="11" t="n">
        <f aca="false">IF(N17="","",'Notes &amp; method'!$B$3-N17)</f>
        <v>208</v>
      </c>
      <c r="Q17" s="11" t="n">
        <v>36</v>
      </c>
      <c r="R17" s="12" t="n">
        <v>46293</v>
      </c>
      <c r="S17" s="12"/>
      <c r="T17" s="12"/>
      <c r="U17" s="11" t="n">
        <v>14572</v>
      </c>
      <c r="V17" s="10" t="s">
        <v>56</v>
      </c>
      <c r="W17" s="10" t="s">
        <v>42</v>
      </c>
      <c r="X17" s="9" t="s">
        <v>159</v>
      </c>
    </row>
    <row r="18" customFormat="false" ht="23.85" hidden="false" customHeight="false" outlineLevel="0" collapsed="false">
      <c r="A18" s="8" t="n">
        <v>17</v>
      </c>
      <c r="B18" s="8" t="s">
        <v>163</v>
      </c>
      <c r="C18" s="9" t="s">
        <v>164</v>
      </c>
      <c r="D18" s="8" t="s">
        <v>73</v>
      </c>
      <c r="E18" s="10" t="s">
        <v>165</v>
      </c>
      <c r="F18" s="9" t="s">
        <v>166</v>
      </c>
      <c r="G18" s="11" t="n">
        <v>150</v>
      </c>
      <c r="H18" s="9" t="s">
        <v>167</v>
      </c>
      <c r="I18" s="9" t="s">
        <v>168</v>
      </c>
      <c r="J18" s="9" t="s">
        <v>169</v>
      </c>
      <c r="K18" s="9" t="s">
        <v>103</v>
      </c>
      <c r="L18" s="9" t="s">
        <v>70</v>
      </c>
      <c r="M18" s="8" t="s">
        <v>54</v>
      </c>
      <c r="N18" s="12" t="n">
        <v>46029</v>
      </c>
      <c r="O18" s="8" t="s">
        <v>55</v>
      </c>
      <c r="P18" s="11" t="n">
        <f aca="false">IF(N18="","",'Notes &amp; method'!$B$3-N18)</f>
        <v>270</v>
      </c>
      <c r="Q18" s="11" t="n">
        <v>20</v>
      </c>
      <c r="R18" s="12" t="n">
        <v>46282</v>
      </c>
      <c r="S18" s="12" t="n">
        <v>45966</v>
      </c>
      <c r="T18" s="12" t="n">
        <v>45959</v>
      </c>
      <c r="U18" s="11" t="n">
        <v>1604</v>
      </c>
      <c r="V18" s="10" t="s">
        <v>56</v>
      </c>
      <c r="W18" s="10" t="s">
        <v>42</v>
      </c>
      <c r="X18" s="9" t="s">
        <v>170</v>
      </c>
    </row>
    <row r="19" customFormat="false" ht="15" hidden="false" customHeight="false" outlineLevel="0" collapsed="false">
      <c r="A19" s="8" t="n">
        <v>18</v>
      </c>
      <c r="B19" s="8" t="s">
        <v>171</v>
      </c>
      <c r="C19" s="9" t="s">
        <v>172</v>
      </c>
      <c r="D19" s="8" t="s">
        <v>73</v>
      </c>
      <c r="E19" s="10" t="s">
        <v>173</v>
      </c>
      <c r="F19" s="9" t="s">
        <v>174</v>
      </c>
      <c r="G19" s="11" t="n">
        <v>199</v>
      </c>
      <c r="H19" s="9" t="s">
        <v>175</v>
      </c>
      <c r="I19" s="9" t="s">
        <v>176</v>
      </c>
      <c r="J19" s="9"/>
      <c r="K19" s="9" t="s">
        <v>78</v>
      </c>
      <c r="L19" s="9" t="s">
        <v>79</v>
      </c>
      <c r="M19" s="8" t="s">
        <v>54</v>
      </c>
      <c r="N19" s="12" t="n">
        <v>46264</v>
      </c>
      <c r="O19" s="8" t="s">
        <v>55</v>
      </c>
      <c r="P19" s="11" t="n">
        <f aca="false">IF(N19="","",'Notes &amp; method'!$B$3-N19)</f>
        <v>35</v>
      </c>
      <c r="Q19" s="11" t="n">
        <v>19</v>
      </c>
      <c r="R19" s="12" t="n">
        <v>46294</v>
      </c>
      <c r="S19" s="12" t="n">
        <v>46263</v>
      </c>
      <c r="T19" s="12"/>
      <c r="U19" s="11" t="n">
        <v>134</v>
      </c>
      <c r="V19" s="10" t="s">
        <v>56</v>
      </c>
      <c r="W19" s="10" t="s">
        <v>42</v>
      </c>
      <c r="X19" s="9" t="s">
        <v>173</v>
      </c>
    </row>
    <row r="20" customFormat="false" ht="15" hidden="false" customHeight="false" outlineLevel="0" collapsed="false">
      <c r="A20" s="8" t="n">
        <v>19</v>
      </c>
      <c r="B20" s="8" t="s">
        <v>177</v>
      </c>
      <c r="C20" s="9" t="s">
        <v>178</v>
      </c>
      <c r="D20" s="8" t="s">
        <v>73</v>
      </c>
      <c r="E20" s="10" t="s">
        <v>179</v>
      </c>
      <c r="F20" s="9" t="s">
        <v>180</v>
      </c>
      <c r="G20" s="11" t="n">
        <v>120</v>
      </c>
      <c r="H20" s="9" t="s">
        <v>181</v>
      </c>
      <c r="I20" s="9" t="s">
        <v>182</v>
      </c>
      <c r="J20" s="9"/>
      <c r="K20" s="9" t="s">
        <v>52</v>
      </c>
      <c r="L20" s="9" t="s">
        <v>183</v>
      </c>
      <c r="M20" s="8" t="s">
        <v>54</v>
      </c>
      <c r="N20" s="12" t="n">
        <v>46223</v>
      </c>
      <c r="O20" s="8" t="s">
        <v>55</v>
      </c>
      <c r="P20" s="11" t="n">
        <f aca="false">IF(N20="","",'Notes &amp; method'!$B$3-N20)</f>
        <v>76</v>
      </c>
      <c r="Q20" s="11" t="n">
        <v>18</v>
      </c>
      <c r="R20" s="12" t="n">
        <v>46272</v>
      </c>
      <c r="S20" s="12" t="n">
        <v>45981</v>
      </c>
      <c r="T20" s="12" t="n">
        <v>45986</v>
      </c>
      <c r="U20" s="11" t="n">
        <v>2337</v>
      </c>
      <c r="V20" s="10" t="s">
        <v>56</v>
      </c>
      <c r="W20" s="10" t="s">
        <v>42</v>
      </c>
      <c r="X20" s="9" t="s">
        <v>179</v>
      </c>
    </row>
    <row r="21" customFormat="false" ht="23.85" hidden="false" customHeight="false" outlineLevel="0" collapsed="false">
      <c r="A21" s="8" t="n">
        <v>20</v>
      </c>
      <c r="B21" s="8" t="s">
        <v>184</v>
      </c>
      <c r="C21" s="9" t="s">
        <v>185</v>
      </c>
      <c r="D21" s="8" t="s">
        <v>73</v>
      </c>
      <c r="E21" s="10" t="s">
        <v>186</v>
      </c>
      <c r="F21" s="9" t="s">
        <v>187</v>
      </c>
      <c r="G21" s="11" t="n">
        <v>155</v>
      </c>
      <c r="H21" s="9" t="s">
        <v>188</v>
      </c>
      <c r="I21" s="9" t="s">
        <v>189</v>
      </c>
      <c r="J21" s="9"/>
      <c r="K21" s="9" t="s">
        <v>78</v>
      </c>
      <c r="L21" s="9" t="s">
        <v>70</v>
      </c>
      <c r="M21" s="8" t="s">
        <v>190</v>
      </c>
      <c r="N21" s="12" t="n">
        <v>45938</v>
      </c>
      <c r="O21" s="8" t="s">
        <v>55</v>
      </c>
      <c r="P21" s="11" t="n">
        <f aca="false">IF(N21="","",'Notes &amp; method'!$B$3-N21)</f>
        <v>361</v>
      </c>
      <c r="Q21" s="11" t="n">
        <v>16</v>
      </c>
      <c r="R21" s="12" t="n">
        <v>46285</v>
      </c>
      <c r="S21" s="12"/>
      <c r="T21" s="12" t="n">
        <v>44951</v>
      </c>
      <c r="U21" s="11" t="n">
        <v>7441</v>
      </c>
      <c r="V21" s="10" t="s">
        <v>56</v>
      </c>
      <c r="W21" s="10" t="s">
        <v>42</v>
      </c>
      <c r="X21" s="9" t="s">
        <v>191</v>
      </c>
    </row>
    <row r="22" customFormat="false" ht="23.85" hidden="false" customHeight="false" outlineLevel="0" collapsed="false">
      <c r="A22" s="8" t="n">
        <v>21</v>
      </c>
      <c r="B22" s="8" t="s">
        <v>192</v>
      </c>
      <c r="C22" s="9" t="s">
        <v>193</v>
      </c>
      <c r="D22" s="8" t="s">
        <v>73</v>
      </c>
      <c r="E22" s="10" t="s">
        <v>194</v>
      </c>
      <c r="F22" s="9" t="s">
        <v>195</v>
      </c>
      <c r="G22" s="11" t="n">
        <v>159</v>
      </c>
      <c r="H22" s="9" t="s">
        <v>196</v>
      </c>
      <c r="I22" s="9" t="s">
        <v>197</v>
      </c>
      <c r="J22" s="9" t="s">
        <v>198</v>
      </c>
      <c r="K22" s="9" t="s">
        <v>78</v>
      </c>
      <c r="L22" s="9" t="s">
        <v>70</v>
      </c>
      <c r="M22" s="8" t="s">
        <v>54</v>
      </c>
      <c r="N22" s="12" t="n">
        <v>46283</v>
      </c>
      <c r="O22" s="8" t="s">
        <v>55</v>
      </c>
      <c r="P22" s="11" t="n">
        <f aca="false">IF(N22="","",'Notes &amp; method'!$B$3-N22)</f>
        <v>16</v>
      </c>
      <c r="Q22" s="11" t="n">
        <v>10</v>
      </c>
      <c r="R22" s="12" t="n">
        <v>46295</v>
      </c>
      <c r="S22" s="12" t="n">
        <v>45984</v>
      </c>
      <c r="T22" s="12"/>
      <c r="U22" s="11" t="n">
        <v>2109</v>
      </c>
      <c r="V22" s="10" t="s">
        <v>56</v>
      </c>
      <c r="W22" s="10" t="s">
        <v>42</v>
      </c>
      <c r="X22" s="9" t="s">
        <v>194</v>
      </c>
    </row>
    <row r="23" customFormat="false" ht="23.85" hidden="false" customHeight="false" outlineLevel="0" collapsed="false">
      <c r="A23" s="8" t="n">
        <v>22</v>
      </c>
      <c r="B23" s="8" t="s">
        <v>199</v>
      </c>
      <c r="C23" s="9" t="s">
        <v>72</v>
      </c>
      <c r="D23" s="8" t="s">
        <v>46</v>
      </c>
      <c r="E23" s="10" t="s">
        <v>200</v>
      </c>
      <c r="F23" s="9" t="s">
        <v>201</v>
      </c>
      <c r="G23" s="11" t="n">
        <v>180</v>
      </c>
      <c r="H23" s="9" t="s">
        <v>202</v>
      </c>
      <c r="I23" s="9" t="s">
        <v>203</v>
      </c>
      <c r="J23" s="9"/>
      <c r="K23" s="9"/>
      <c r="L23" s="9" t="s">
        <v>70</v>
      </c>
      <c r="M23" s="8" t="s">
        <v>190</v>
      </c>
      <c r="N23" s="12" t="n">
        <v>46219</v>
      </c>
      <c r="O23" s="8" t="s">
        <v>55</v>
      </c>
      <c r="P23" s="11" t="n">
        <f aca="false">IF(N23="","",'Notes &amp; method'!$B$3-N23)</f>
        <v>80</v>
      </c>
      <c r="Q23" s="11" t="n">
        <v>8</v>
      </c>
      <c r="R23" s="12" t="n">
        <v>46293</v>
      </c>
      <c r="S23" s="12"/>
      <c r="T23" s="12"/>
      <c r="U23" s="11" t="n">
        <v>165</v>
      </c>
      <c r="V23" s="10" t="s">
        <v>56</v>
      </c>
      <c r="W23" s="10" t="s">
        <v>42</v>
      </c>
      <c r="X23" s="9" t="s">
        <v>204</v>
      </c>
    </row>
    <row r="24" customFormat="false" ht="23.85" hidden="false" customHeight="false" outlineLevel="0" collapsed="false">
      <c r="A24" s="8" t="n">
        <v>23</v>
      </c>
      <c r="B24" s="8" t="s">
        <v>205</v>
      </c>
      <c r="C24" s="9" t="s">
        <v>193</v>
      </c>
      <c r="D24" s="8" t="s">
        <v>73</v>
      </c>
      <c r="E24" s="10" t="s">
        <v>206</v>
      </c>
      <c r="F24" s="9" t="s">
        <v>207</v>
      </c>
      <c r="G24" s="11" t="n">
        <v>95</v>
      </c>
      <c r="H24" s="9" t="s">
        <v>208</v>
      </c>
      <c r="I24" s="9" t="s">
        <v>209</v>
      </c>
      <c r="J24" s="9"/>
      <c r="K24" s="9" t="s">
        <v>52</v>
      </c>
      <c r="L24" s="9" t="s">
        <v>183</v>
      </c>
      <c r="M24" s="8" t="s">
        <v>190</v>
      </c>
      <c r="N24" s="12" t="n">
        <v>46287</v>
      </c>
      <c r="O24" s="8" t="s">
        <v>55</v>
      </c>
      <c r="P24" s="11" t="n">
        <f aca="false">IF(N24="","",'Notes &amp; method'!$B$3-N24)</f>
        <v>12</v>
      </c>
      <c r="Q24" s="11" t="n">
        <v>7</v>
      </c>
      <c r="R24" s="12" t="n">
        <v>46298</v>
      </c>
      <c r="S24" s="12"/>
      <c r="T24" s="12" t="n">
        <v>45530</v>
      </c>
      <c r="U24" s="11" t="n">
        <v>3914</v>
      </c>
      <c r="V24" s="10" t="s">
        <v>56</v>
      </c>
      <c r="W24" s="10" t="s">
        <v>42</v>
      </c>
      <c r="X24" s="9" t="s">
        <v>210</v>
      </c>
    </row>
    <row r="25" customFormat="false" ht="23.85" hidden="false" customHeight="false" outlineLevel="0" collapsed="false">
      <c r="A25" s="8" t="n">
        <v>24</v>
      </c>
      <c r="B25" s="8" t="s">
        <v>211</v>
      </c>
      <c r="C25" s="9" t="s">
        <v>212</v>
      </c>
      <c r="D25" s="8" t="s">
        <v>137</v>
      </c>
      <c r="E25" s="10" t="s">
        <v>213</v>
      </c>
      <c r="F25" s="9" t="s">
        <v>214</v>
      </c>
      <c r="G25" s="11"/>
      <c r="H25" s="9" t="s">
        <v>215</v>
      </c>
      <c r="I25" s="9"/>
      <c r="J25" s="9" t="s">
        <v>69</v>
      </c>
      <c r="K25" s="9" t="s">
        <v>52</v>
      </c>
      <c r="L25" s="9" t="s">
        <v>70</v>
      </c>
      <c r="M25" s="8" t="s">
        <v>162</v>
      </c>
      <c r="N25" s="12" t="n">
        <v>46129</v>
      </c>
      <c r="O25" s="8" t="s">
        <v>55</v>
      </c>
      <c r="P25" s="11" t="n">
        <f aca="false">IF(N25="","",'Notes &amp; method'!$B$3-N25)</f>
        <v>170</v>
      </c>
      <c r="Q25" s="11" t="n">
        <v>7</v>
      </c>
      <c r="R25" s="12" t="n">
        <v>46268</v>
      </c>
      <c r="S25" s="12"/>
      <c r="T25" s="12"/>
      <c r="U25" s="11" t="n">
        <v>273</v>
      </c>
      <c r="V25" s="10" t="s">
        <v>56</v>
      </c>
      <c r="W25" s="10" t="s">
        <v>42</v>
      </c>
      <c r="X25" s="9" t="s">
        <v>213</v>
      </c>
    </row>
    <row r="26" customFormat="false" ht="15" hidden="false" customHeight="false" outlineLevel="0" collapsed="false">
      <c r="A26" s="8" t="n">
        <v>25</v>
      </c>
      <c r="B26" s="8" t="s">
        <v>216</v>
      </c>
      <c r="C26" s="9" t="s">
        <v>72</v>
      </c>
      <c r="D26" s="8" t="s">
        <v>73</v>
      </c>
      <c r="E26" s="8"/>
      <c r="F26" s="9" t="s">
        <v>217</v>
      </c>
      <c r="G26" s="11"/>
      <c r="H26" s="9" t="s">
        <v>218</v>
      </c>
      <c r="I26" s="9"/>
      <c r="J26" s="9"/>
      <c r="K26" s="9"/>
      <c r="L26" s="9" t="s">
        <v>219</v>
      </c>
      <c r="M26" s="8" t="s">
        <v>220</v>
      </c>
      <c r="N26" s="12" t="n">
        <v>46200</v>
      </c>
      <c r="O26" s="8" t="s">
        <v>55</v>
      </c>
      <c r="P26" s="11" t="n">
        <f aca="false">IF(N26="","",'Notes &amp; method'!$B$3-N26)</f>
        <v>99</v>
      </c>
      <c r="Q26" s="11" t="n">
        <v>4</v>
      </c>
      <c r="R26" s="12" t="n">
        <v>46201</v>
      </c>
      <c r="S26" s="12"/>
      <c r="T26" s="12"/>
      <c r="U26" s="11" t="n">
        <v>404</v>
      </c>
      <c r="V26" s="10" t="s">
        <v>56</v>
      </c>
      <c r="W26" s="10" t="s">
        <v>42</v>
      </c>
      <c r="X26" s="9" t="s">
        <v>221</v>
      </c>
    </row>
    <row r="27" customFormat="false" ht="15" hidden="false" customHeight="false" outlineLevel="0" collapsed="false">
      <c r="A27" s="8" t="n">
        <v>26</v>
      </c>
      <c r="B27" s="8" t="s">
        <v>222</v>
      </c>
      <c r="C27" s="9" t="s">
        <v>223</v>
      </c>
      <c r="D27" s="8" t="s">
        <v>224</v>
      </c>
      <c r="E27" s="8"/>
      <c r="F27" s="9" t="s">
        <v>225</v>
      </c>
      <c r="G27" s="11"/>
      <c r="H27" s="9" t="s">
        <v>226</v>
      </c>
      <c r="I27" s="9" t="s">
        <v>227</v>
      </c>
      <c r="J27" s="9"/>
      <c r="K27" s="9"/>
      <c r="L27" s="9" t="s">
        <v>219</v>
      </c>
      <c r="M27" s="8" t="s">
        <v>220</v>
      </c>
      <c r="N27" s="12" t="n">
        <v>46293</v>
      </c>
      <c r="O27" s="8" t="s">
        <v>55</v>
      </c>
      <c r="P27" s="11" t="n">
        <f aca="false">IF(N27="","",'Notes &amp; method'!$B$3-N27)</f>
        <v>6</v>
      </c>
      <c r="Q27" s="11" t="n">
        <v>4</v>
      </c>
      <c r="R27" s="12" t="n">
        <v>46296</v>
      </c>
      <c r="S27" s="12"/>
      <c r="T27" s="12"/>
      <c r="U27" s="11" t="n">
        <v>3615</v>
      </c>
      <c r="V27" s="10" t="s">
        <v>56</v>
      </c>
      <c r="W27" s="10" t="s">
        <v>42</v>
      </c>
      <c r="X27" s="9" t="s">
        <v>221</v>
      </c>
    </row>
    <row r="28" customFormat="false" ht="23.85" hidden="false" customHeight="false" outlineLevel="0" collapsed="false">
      <c r="A28" s="8" t="n">
        <v>27</v>
      </c>
      <c r="B28" s="8" t="s">
        <v>228</v>
      </c>
      <c r="C28" s="9" t="s">
        <v>193</v>
      </c>
      <c r="D28" s="8" t="s">
        <v>73</v>
      </c>
      <c r="E28" s="10" t="s">
        <v>229</v>
      </c>
      <c r="F28" s="9" t="s">
        <v>230</v>
      </c>
      <c r="G28" s="11" t="n">
        <v>69</v>
      </c>
      <c r="H28" s="9" t="s">
        <v>231</v>
      </c>
      <c r="I28" s="9" t="s">
        <v>232</v>
      </c>
      <c r="J28" s="9"/>
      <c r="K28" s="9" t="s">
        <v>103</v>
      </c>
      <c r="L28" s="9" t="s">
        <v>53</v>
      </c>
      <c r="M28" s="8" t="s">
        <v>190</v>
      </c>
      <c r="N28" s="12" t="n">
        <v>46242</v>
      </c>
      <c r="O28" s="8" t="s">
        <v>55</v>
      </c>
      <c r="P28" s="11" t="n">
        <f aca="false">IF(N28="","",'Notes &amp; method'!$B$3-N28)</f>
        <v>57</v>
      </c>
      <c r="Q28" s="11" t="n">
        <v>3</v>
      </c>
      <c r="R28" s="12" t="n">
        <v>46244</v>
      </c>
      <c r="S28" s="12"/>
      <c r="T28" s="12"/>
      <c r="U28" s="11" t="n">
        <v>8793</v>
      </c>
      <c r="V28" s="10" t="s">
        <v>56</v>
      </c>
      <c r="W28" s="10" t="s">
        <v>42</v>
      </c>
      <c r="X28" s="9" t="s">
        <v>229</v>
      </c>
    </row>
    <row r="29" customFormat="false" ht="35.05" hidden="false" customHeight="false" outlineLevel="0" collapsed="false">
      <c r="A29" s="8" t="n">
        <v>28</v>
      </c>
      <c r="B29" s="8" t="s">
        <v>233</v>
      </c>
      <c r="C29" s="9" t="s">
        <v>234</v>
      </c>
      <c r="D29" s="8" t="s">
        <v>235</v>
      </c>
      <c r="E29" s="10" t="s">
        <v>236</v>
      </c>
      <c r="F29" s="9" t="s">
        <v>237</v>
      </c>
      <c r="G29" s="11" t="n">
        <v>82</v>
      </c>
      <c r="H29" s="9" t="s">
        <v>238</v>
      </c>
      <c r="I29" s="9" t="s">
        <v>239</v>
      </c>
      <c r="J29" s="9" t="s">
        <v>240</v>
      </c>
      <c r="K29" s="9" t="s">
        <v>78</v>
      </c>
      <c r="L29" s="9" t="s">
        <v>70</v>
      </c>
      <c r="M29" s="8" t="s">
        <v>190</v>
      </c>
      <c r="N29" s="12" t="n">
        <v>45904</v>
      </c>
      <c r="O29" s="8" t="s">
        <v>55</v>
      </c>
      <c r="P29" s="11" t="n">
        <f aca="false">IF(N29="","",'Notes &amp; method'!$B$3-N29)</f>
        <v>395</v>
      </c>
      <c r="Q29" s="11" t="n">
        <v>3</v>
      </c>
      <c r="R29" s="12" t="n">
        <v>46292</v>
      </c>
      <c r="S29" s="12"/>
      <c r="T29" s="12" t="n">
        <v>45201</v>
      </c>
      <c r="U29" s="11" t="n">
        <v>2245</v>
      </c>
      <c r="V29" s="10" t="s">
        <v>56</v>
      </c>
      <c r="W29" s="10" t="s">
        <v>42</v>
      </c>
      <c r="X29" s="9" t="s">
        <v>241</v>
      </c>
    </row>
    <row r="30" customFormat="false" ht="15" hidden="false" customHeight="false" outlineLevel="0" collapsed="false">
      <c r="A30" s="8" t="n">
        <v>29</v>
      </c>
      <c r="B30" s="8" t="s">
        <v>242</v>
      </c>
      <c r="C30" s="9" t="s">
        <v>243</v>
      </c>
      <c r="D30" s="8" t="s">
        <v>73</v>
      </c>
      <c r="E30" s="10" t="s">
        <v>244</v>
      </c>
      <c r="F30" s="9" t="s">
        <v>245</v>
      </c>
      <c r="G30" s="11" t="n">
        <v>99</v>
      </c>
      <c r="H30" s="9" t="s">
        <v>246</v>
      </c>
      <c r="I30" s="9" t="s">
        <v>247</v>
      </c>
      <c r="J30" s="9"/>
      <c r="K30" s="9"/>
      <c r="L30" s="9" t="s">
        <v>183</v>
      </c>
      <c r="M30" s="8" t="s">
        <v>54</v>
      </c>
      <c r="N30" s="12" t="n">
        <v>46179</v>
      </c>
      <c r="O30" s="8" t="s">
        <v>55</v>
      </c>
      <c r="P30" s="11" t="n">
        <f aca="false">IF(N30="","",'Notes &amp; method'!$B$3-N30)</f>
        <v>120</v>
      </c>
      <c r="Q30" s="11" t="n">
        <v>3</v>
      </c>
      <c r="R30" s="12" t="n">
        <v>46232</v>
      </c>
      <c r="S30" s="12" t="n">
        <v>44094</v>
      </c>
      <c r="T30" s="12" t="n">
        <v>44302</v>
      </c>
      <c r="U30" s="11" t="n">
        <v>21474</v>
      </c>
      <c r="V30" s="10" t="s">
        <v>56</v>
      </c>
      <c r="W30" s="10" t="s">
        <v>42</v>
      </c>
      <c r="X30" s="9" t="s">
        <v>244</v>
      </c>
    </row>
    <row r="31" customFormat="false" ht="23.85" hidden="false" customHeight="false" outlineLevel="0" collapsed="false">
      <c r="A31" s="8" t="n">
        <v>30</v>
      </c>
      <c r="B31" s="8" t="s">
        <v>248</v>
      </c>
      <c r="C31" s="9" t="s">
        <v>249</v>
      </c>
      <c r="D31" s="8" t="s">
        <v>224</v>
      </c>
      <c r="E31" s="8"/>
      <c r="F31" s="9" t="s">
        <v>250</v>
      </c>
      <c r="G31" s="11"/>
      <c r="H31" s="9" t="s">
        <v>218</v>
      </c>
      <c r="I31" s="9" t="s">
        <v>251</v>
      </c>
      <c r="J31" s="9"/>
      <c r="K31" s="9"/>
      <c r="L31" s="9" t="s">
        <v>219</v>
      </c>
      <c r="M31" s="8" t="s">
        <v>220</v>
      </c>
      <c r="N31" s="12" t="n">
        <v>46295</v>
      </c>
      <c r="O31" s="8" t="s">
        <v>55</v>
      </c>
      <c r="P31" s="11" t="n">
        <f aca="false">IF(N31="","",'Notes &amp; method'!$B$3-N31)</f>
        <v>4</v>
      </c>
      <c r="Q31" s="11" t="n">
        <v>3</v>
      </c>
      <c r="R31" s="12" t="n">
        <v>46299</v>
      </c>
      <c r="S31" s="12"/>
      <c r="T31" s="12"/>
      <c r="U31" s="11" t="n">
        <v>42</v>
      </c>
      <c r="V31" s="10" t="s">
        <v>56</v>
      </c>
      <c r="W31" s="10" t="s">
        <v>42</v>
      </c>
      <c r="X31" s="9" t="s">
        <v>221</v>
      </c>
    </row>
    <row r="32" customFormat="false" ht="23.85" hidden="false" customHeight="false" outlineLevel="0" collapsed="false">
      <c r="A32" s="8" t="n">
        <v>31</v>
      </c>
      <c r="B32" s="8" t="s">
        <v>252</v>
      </c>
      <c r="C32" s="9" t="s">
        <v>253</v>
      </c>
      <c r="D32" s="8" t="s">
        <v>46</v>
      </c>
      <c r="E32" s="10" t="s">
        <v>254</v>
      </c>
      <c r="F32" s="9" t="s">
        <v>255</v>
      </c>
      <c r="G32" s="11"/>
      <c r="H32" s="9" t="s">
        <v>256</v>
      </c>
      <c r="I32" s="9" t="s">
        <v>257</v>
      </c>
      <c r="J32" s="9"/>
      <c r="K32" s="9"/>
      <c r="L32" s="9" t="s">
        <v>70</v>
      </c>
      <c r="M32" s="8" t="s">
        <v>258</v>
      </c>
      <c r="N32" s="12" t="n">
        <v>46193</v>
      </c>
      <c r="O32" s="8" t="s">
        <v>55</v>
      </c>
      <c r="P32" s="11" t="n">
        <f aca="false">IF(N32="","",'Notes &amp; method'!$B$3-N32)</f>
        <v>106</v>
      </c>
      <c r="Q32" s="11" t="n">
        <v>3</v>
      </c>
      <c r="R32" s="12" t="n">
        <v>46204</v>
      </c>
      <c r="S32" s="12"/>
      <c r="T32" s="12"/>
      <c r="U32" s="11" t="n">
        <v>1456</v>
      </c>
      <c r="V32" s="10" t="s">
        <v>56</v>
      </c>
      <c r="W32" s="10" t="s">
        <v>42</v>
      </c>
      <c r="X32" s="9" t="s">
        <v>221</v>
      </c>
    </row>
    <row r="33" customFormat="false" ht="23.85" hidden="false" customHeight="false" outlineLevel="0" collapsed="false">
      <c r="A33" s="8" t="n">
        <v>32</v>
      </c>
      <c r="B33" s="8" t="s">
        <v>259</v>
      </c>
      <c r="C33" s="9" t="s">
        <v>260</v>
      </c>
      <c r="D33" s="8" t="s">
        <v>73</v>
      </c>
      <c r="E33" s="10" t="s">
        <v>261</v>
      </c>
      <c r="F33" s="9" t="s">
        <v>262</v>
      </c>
      <c r="G33" s="11" t="n">
        <v>249</v>
      </c>
      <c r="H33" s="9" t="s">
        <v>263</v>
      </c>
      <c r="I33" s="9" t="s">
        <v>264</v>
      </c>
      <c r="J33" s="9"/>
      <c r="K33" s="9" t="s">
        <v>78</v>
      </c>
      <c r="L33" s="9" t="s">
        <v>95</v>
      </c>
      <c r="M33" s="8" t="s">
        <v>142</v>
      </c>
      <c r="N33" s="12" t="n">
        <v>46294</v>
      </c>
      <c r="O33" s="8" t="s">
        <v>55</v>
      </c>
      <c r="P33" s="11" t="n">
        <f aca="false">IF(N33="","",'Notes &amp; method'!$B$3-N33)</f>
        <v>5</v>
      </c>
      <c r="Q33" s="11" t="n">
        <v>2</v>
      </c>
      <c r="R33" s="12" t="n">
        <v>46296</v>
      </c>
      <c r="S33" s="12"/>
      <c r="T33" s="12"/>
      <c r="U33" s="11" t="n">
        <v>10024</v>
      </c>
      <c r="V33" s="10" t="s">
        <v>56</v>
      </c>
      <c r="W33" s="10" t="s">
        <v>42</v>
      </c>
      <c r="X33" s="9" t="s">
        <v>261</v>
      </c>
    </row>
    <row r="34" customFormat="false" ht="23.85" hidden="false" customHeight="false" outlineLevel="0" collapsed="false">
      <c r="A34" s="8" t="n">
        <v>33</v>
      </c>
      <c r="B34" s="8" t="s">
        <v>265</v>
      </c>
      <c r="C34" s="9" t="s">
        <v>234</v>
      </c>
      <c r="D34" s="8" t="s">
        <v>73</v>
      </c>
      <c r="E34" s="10" t="s">
        <v>266</v>
      </c>
      <c r="F34" s="9" t="s">
        <v>267</v>
      </c>
      <c r="G34" s="11" t="n">
        <v>129</v>
      </c>
      <c r="H34" s="9" t="s">
        <v>268</v>
      </c>
      <c r="I34" s="9" t="s">
        <v>269</v>
      </c>
      <c r="J34" s="9"/>
      <c r="K34" s="9"/>
      <c r="L34" s="9" t="s">
        <v>70</v>
      </c>
      <c r="M34" s="8" t="s">
        <v>80</v>
      </c>
      <c r="N34" s="12" t="n">
        <v>46297</v>
      </c>
      <c r="O34" s="8" t="s">
        <v>55</v>
      </c>
      <c r="P34" s="11" t="n">
        <f aca="false">IF(N34="","",'Notes &amp; method'!$B$3-N34)</f>
        <v>2</v>
      </c>
      <c r="Q34" s="11" t="n">
        <v>1</v>
      </c>
      <c r="R34" s="12" t="n">
        <v>46297</v>
      </c>
      <c r="S34" s="12"/>
      <c r="T34" s="12"/>
      <c r="U34" s="11" t="n">
        <v>88</v>
      </c>
      <c r="V34" s="10" t="s">
        <v>56</v>
      </c>
      <c r="W34" s="10" t="s">
        <v>42</v>
      </c>
      <c r="X34" s="9" t="s">
        <v>266</v>
      </c>
    </row>
  </sheetData>
  <hyperlinks>
    <hyperlink ref="E2" r:id="rId1" display="argivitmaroc.com"/>
    <hyperlink ref="V2" r:id="rId2" display="Open Ad Library"/>
    <hyperlink ref="W2" r:id="rId3" display="Facebook page"/>
    <hyperlink ref="E3" r:id="rId4" display="argivitmaroc.com"/>
    <hyperlink ref="V3" r:id="rId5" display="Open Ad Library"/>
    <hyperlink ref="W3" r:id="rId6" display="Facebook page"/>
    <hyperlink ref="E4" r:id="rId7" display="drpops.ma"/>
    <hyperlink ref="V4" r:id="rId8" display="Open Ad Library"/>
    <hyperlink ref="W4" r:id="rId9" display="Facebook page"/>
    <hyperlink ref="E5" r:id="rId10" display="kivra.ma"/>
    <hyperlink ref="V5" r:id="rId11" display="Open Ad Library"/>
    <hyperlink ref="W5" r:id="rId12" display="Facebook page"/>
    <hyperlink ref="E6" r:id="rId13" display="capila.ma"/>
    <hyperlink ref="V6" r:id="rId14" display="Open Ad Library"/>
    <hyperlink ref="W6" r:id="rId15" display="Facebook page"/>
    <hyperlink ref="E7" r:id="rId16" display="toltna.com"/>
    <hyperlink ref="V7" r:id="rId17" display="Open Ad Library"/>
    <hyperlink ref="W7" r:id="rId18" display="Facebook page"/>
    <hyperlink ref="E8" r:id="rId19" display="hard.ma"/>
    <hyperlink ref="V8" r:id="rId20" display="Open Ad Library"/>
    <hyperlink ref="W8" r:id="rId21" display="Facebook page"/>
    <hyperlink ref="E9" r:id="rId22" display="natureamaroc.com"/>
    <hyperlink ref="V9" r:id="rId23" display="Open Ad Library"/>
    <hyperlink ref="W9" r:id="rId24" display="Facebook page"/>
    <hyperlink ref="E10" r:id="rId25" display="gleamy.ma"/>
    <hyperlink ref="V10" r:id="rId26" display="Open Ad Library"/>
    <hyperlink ref="W10" r:id="rId27" display="Facebook page"/>
    <hyperlink ref="E11" r:id="rId28" display="melixir.shop"/>
    <hyperlink ref="V11" r:id="rId29" display="Open Ad Library"/>
    <hyperlink ref="W11" r:id="rId30" display="Facebook page"/>
    <hyperlink ref="E12" r:id="rId31" display="vitamiam.shop"/>
    <hyperlink ref="V12" r:id="rId32" display="Open Ad Library"/>
    <hyperlink ref="W12" r:id="rId33" display="Facebook page"/>
    <hyperlink ref="E13" r:id="rId34" display="betheone.shop"/>
    <hyperlink ref="V13" r:id="rId35" display="Open Ad Library"/>
    <hyperlink ref="W13" r:id="rId36" display="Facebook page"/>
    <hyperlink ref="E14" r:id="rId37" display="hoojan.com"/>
    <hyperlink ref="V14" r:id="rId38" display="Open Ad Library"/>
    <hyperlink ref="W14" r:id="rId39" display="Facebook page"/>
    <hyperlink ref="E15" r:id="rId40" display="zoryalab.com"/>
    <hyperlink ref="V15" r:id="rId41" display="Open Ad Library"/>
    <hyperlink ref="W15" r:id="rId42" display="Facebook page"/>
    <hyperlink ref="V16" r:id="rId43" display="Open Ad Library"/>
    <hyperlink ref="W16" r:id="rId44" display="Facebook page"/>
    <hyperlink ref="E17" r:id="rId45" display="maghrebnutrition.ma"/>
    <hyperlink ref="V17" r:id="rId46" display="Open Ad Library"/>
    <hyperlink ref="W17" r:id="rId47" display="Facebook page"/>
    <hyperlink ref="E18" r:id="rId48" display="ferilys.com"/>
    <hyperlink ref="V18" r:id="rId49" display="Open Ad Library"/>
    <hyperlink ref="W18" r:id="rId50" display="Facebook page"/>
    <hyperlink ref="E19" r:id="rId51" display="snqkpu-w0.myshopify.com"/>
    <hyperlink ref="V19" r:id="rId52" display="Open Ad Library"/>
    <hyperlink ref="W19" r:id="rId53" display="Facebook page"/>
    <hyperlink ref="E20" r:id="rId54" display="body-flex.shop"/>
    <hyperlink ref="V20" r:id="rId55" display="Open Ad Library"/>
    <hyperlink ref="W20" r:id="rId56" display="Facebook page"/>
    <hyperlink ref="E21" r:id="rId57" display="laprot.com"/>
    <hyperlink ref="V21" r:id="rId58" display="Open Ad Library"/>
    <hyperlink ref="W21" r:id="rId59" display="Facebook page"/>
    <hyperlink ref="E22" r:id="rId60" display="revoxine.ma"/>
    <hyperlink ref="V22" r:id="rId61" display="Open Ad Library"/>
    <hyperlink ref="W22" r:id="rId62" display="Facebook page"/>
    <hyperlink ref="E23" r:id="rId63" display="elev8supplements.ma"/>
    <hyperlink ref="V23" r:id="rId64" display="Open Ad Library"/>
    <hyperlink ref="W23" r:id="rId65" display="Facebook page"/>
    <hyperlink ref="E24" r:id="rId66" display="vitalispro.online"/>
    <hyperlink ref="V24" r:id="rId67" display="Open Ad Library"/>
    <hyperlink ref="W24" r:id="rId68" display="Facebook page"/>
    <hyperlink ref="E25" r:id="rId69" display="mapara.ma"/>
    <hyperlink ref="V25" r:id="rId70" display="Open Ad Library"/>
    <hyperlink ref="W25" r:id="rId71" display="Facebook page"/>
    <hyperlink ref="V26" r:id="rId72" display="Open Ad Library"/>
    <hyperlink ref="W26" r:id="rId73" display="Facebook page"/>
    <hyperlink ref="V27" r:id="rId74" display="Open Ad Library"/>
    <hyperlink ref="W27" r:id="rId75" display="Facebook page"/>
    <hyperlink ref="E28" r:id="rId76" display="alphavital.ma"/>
    <hyperlink ref="V28" r:id="rId77" display="Open Ad Library"/>
    <hyperlink ref="W28" r:id="rId78" display="Facebook page"/>
    <hyperlink ref="E29" r:id="rId79" display="marocvita.com"/>
    <hyperlink ref="V29" r:id="rId80" display="Open Ad Library"/>
    <hyperlink ref="W29" r:id="rId81" display="Facebook page"/>
    <hyperlink ref="E30" r:id="rId82" display="supplementsmaroc.com"/>
    <hyperlink ref="V30" r:id="rId83" display="Open Ad Library"/>
    <hyperlink ref="W30" r:id="rId84" display="Facebook page"/>
    <hyperlink ref="V31" r:id="rId85" display="Open Ad Library"/>
    <hyperlink ref="W31" r:id="rId86" display="Facebook page"/>
    <hyperlink ref="E32" r:id="rId87" display="vertuplus.ma"/>
    <hyperlink ref="V32" r:id="rId88" display="Open Ad Library"/>
    <hyperlink ref="W32" r:id="rId89" display="Facebook page"/>
    <hyperlink ref="E33" r:id="rId90" display="atlaspure.shop"/>
    <hyperlink ref="V33" r:id="rId91" display="Open Ad Library"/>
    <hyperlink ref="W33" r:id="rId92" display="Facebook page"/>
    <hyperlink ref="E34" r:id="rId93" display="drnutri.ma"/>
    <hyperlink ref="V34" r:id="rId94" display="Open Ad Library"/>
    <hyperlink ref="W34" r:id="rId95" display="Facebook pag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9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6.15" hidden="false" customHeight="false" outlineLevel="0" collapsed="false">
      <c r="A1" s="13" t="s">
        <v>270</v>
      </c>
    </row>
    <row r="2" customFormat="false" ht="15" hidden="false" customHeight="false" outlineLevel="0" collapsed="false">
      <c r="A2" s="14"/>
    </row>
    <row r="3" customFormat="false" ht="15" hidden="false" customHeight="false" outlineLevel="0" collapsed="false">
      <c r="A3" s="14" t="s">
        <v>271</v>
      </c>
      <c r="B3" s="15" t="n">
        <v>46299</v>
      </c>
      <c r="C3" s="16" t="s">
        <v>272</v>
      </c>
    </row>
    <row r="4" customFormat="false" ht="15" hidden="false" customHeight="false" outlineLevel="0" collapsed="false">
      <c r="A4" s="14"/>
    </row>
    <row r="5" customFormat="false" ht="15" hidden="false" customHeight="false" outlineLevel="0" collapsed="false">
      <c r="A5" s="14" t="s">
        <v>273</v>
      </c>
    </row>
    <row r="6" customFormat="false" ht="15" hidden="false" customHeight="false" outlineLevel="0" collapsed="false">
      <c r="A6" s="14" t="s">
        <v>27</v>
      </c>
      <c r="B6" s="17" t="s">
        <v>274</v>
      </c>
    </row>
    <row r="7" customFormat="false" ht="15" hidden="false" customHeight="false" outlineLevel="0" collapsed="false">
      <c r="A7" s="14" t="s">
        <v>29</v>
      </c>
      <c r="B7" s="17" t="s">
        <v>275</v>
      </c>
    </row>
    <row r="8" customFormat="false" ht="15" hidden="false" customHeight="false" outlineLevel="0" collapsed="false">
      <c r="A8" s="14" t="s">
        <v>30</v>
      </c>
      <c r="B8" s="17" t="s">
        <v>276</v>
      </c>
    </row>
    <row r="9" customFormat="false" ht="15" hidden="false" customHeight="false" outlineLevel="0" collapsed="false">
      <c r="A9" s="14" t="s">
        <v>31</v>
      </c>
      <c r="B9" s="17" t="s">
        <v>277</v>
      </c>
    </row>
    <row r="10" customFormat="false" ht="15" hidden="false" customHeight="false" outlineLevel="0" collapsed="false">
      <c r="A10" s="14" t="s">
        <v>11</v>
      </c>
      <c r="B10" s="17" t="s">
        <v>278</v>
      </c>
    </row>
    <row r="11" customFormat="false" ht="46.25" hidden="false" customHeight="false" outlineLevel="0" collapsed="false">
      <c r="A11" s="14" t="s">
        <v>33</v>
      </c>
      <c r="B11" s="17" t="s">
        <v>279</v>
      </c>
    </row>
    <row r="12" customFormat="false" ht="23.85" hidden="false" customHeight="false" outlineLevel="0" collapsed="false">
      <c r="A12" s="14" t="s">
        <v>34</v>
      </c>
      <c r="B12" s="17" t="s">
        <v>280</v>
      </c>
    </row>
    <row r="13" customFormat="false" ht="15" hidden="false" customHeight="false" outlineLevel="0" collapsed="false">
      <c r="A13" s="14" t="s">
        <v>35</v>
      </c>
      <c r="B13" s="17" t="s">
        <v>281</v>
      </c>
    </row>
    <row r="14" customFormat="false" ht="15" hidden="false" customHeight="false" outlineLevel="0" collapsed="false">
      <c r="A14" s="14" t="s">
        <v>36</v>
      </c>
      <c r="B14" s="17" t="s">
        <v>282</v>
      </c>
    </row>
    <row r="15" customFormat="false" ht="15" hidden="false" customHeight="false" outlineLevel="0" collapsed="false">
      <c r="A15" s="14" t="s">
        <v>38</v>
      </c>
      <c r="B15" s="17" t="s">
        <v>283</v>
      </c>
    </row>
    <row r="16" customFormat="false" ht="15" hidden="false" customHeight="false" outlineLevel="0" collapsed="false">
      <c r="A16" s="14" t="s">
        <v>39</v>
      </c>
      <c r="B16" s="17" t="s">
        <v>284</v>
      </c>
    </row>
    <row r="17" customFormat="false" ht="15" hidden="false" customHeight="false" outlineLevel="0" collapsed="false">
      <c r="A17" s="14" t="s">
        <v>41</v>
      </c>
      <c r="B17" s="17" t="s">
        <v>285</v>
      </c>
    </row>
    <row r="18" customFormat="false" ht="15" hidden="false" customHeight="false" outlineLevel="0" collapsed="false">
      <c r="A18" s="14"/>
    </row>
    <row r="19" customFormat="false" ht="15" hidden="false" customHeight="false" outlineLevel="0" collapsed="false">
      <c r="A19" s="14" t="s">
        <v>286</v>
      </c>
    </row>
    <row r="20" customFormat="false" ht="46.25" hidden="false" customHeight="false" outlineLevel="0" collapsed="false">
      <c r="A20" s="14" t="s">
        <v>287</v>
      </c>
      <c r="B20" s="17" t="s">
        <v>288</v>
      </c>
    </row>
    <row r="21" customFormat="false" ht="23.85" hidden="false" customHeight="false" outlineLevel="0" collapsed="false">
      <c r="A21" s="14" t="s">
        <v>289</v>
      </c>
      <c r="B21" s="17" t="s">
        <v>290</v>
      </c>
    </row>
    <row r="22" customFormat="false" ht="23.85" hidden="false" customHeight="false" outlineLevel="0" collapsed="false">
      <c r="A22" s="14" t="s">
        <v>291</v>
      </c>
      <c r="B22" s="17"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2026-10-04T20:08:25Z</dcterms:created>
  <dc:creator>openpyxl</dc:creator>
  <dc:description/>
  <dc:language>en-US</dc:language>
  <cp:lastModifiedBy/>
  <dcterms:modified xsi:type="dcterms:W3CDTF">2026-10-04T20:08:25Z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
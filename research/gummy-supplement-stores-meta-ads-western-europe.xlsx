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X" sheetId="2" state="visible" r:id="rId4"/>
    <sheet name="Summary" sheetId="3" state="visible" r:id="rId5"/>
    <sheet name="France" sheetId="4" state="visible" r:id="rId6"/>
    <sheet name="Germany" sheetId="5" state="visible" r:id="rId7"/>
    <sheet name="Italy" sheetId="6" state="visible" r:id="rId8"/>
    <sheet name="Belgium" sheetId="7" state="visible" r:id="rId9"/>
    <sheet name="Netherlands" sheetId="8" state="visible" r:id="rId10"/>
    <sheet name="Spain" sheetId="9" state="visible" r:id="rId11"/>
    <sheet name="Portugal" sheetId="10" state="visible" r:id="rId12"/>
    <sheet name="Switzerland" sheetId="11" state="visible" r:id="rId13"/>
    <sheet name="Ireland" sheetId="12" state="visible" r:id="rId14"/>
    <sheet name="Austri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<sst xmlns="http://schemas.openxmlformats.org/spreadsheetml/2006/main" count="990" uniqueCount="542">
  <si>
    <t xml:space="preserve">Gummy &amp; supplement stores – Meta ads tracker</t>
  </si>
  <si>
    <t xml:space="preserve">Data collected on</t>
  </si>
  <si>
    <t xml:space="preserve">Countries</t>
  </si>
  <si>
    <t xml:space="preserve">France, Germany, Italy, Belgium, Netherlands, Spain, Portugal, Switzerland, Ireland, Austria (one tab each)</t>
  </si>
  <si>
    <t xml:space="preserve">COLUMNS</t>
  </si>
  <si>
    <t xml:space="preserve">Store link</t>
  </si>
  <si>
    <t xml:space="preserve">The store website (where the ads send people).</t>
  </si>
  <si>
    <t xml:space="preserve">Meta Ad Library link</t>
  </si>
  <si>
    <t xml:space="preserve">Opens the store's Facebook page in Meta Ad Library (all countries, active + inactive ads). Use it to re-check every number.</t>
  </si>
  <si>
    <t xml:space="preserve">Entry price</t>
  </si>
  <si>
    <t xml:space="preserve">Lowest price to buy ONE unit of the main product the store advertises (after the discount shown on the site). Local currency; the EUR column converts it with the FX tab.</t>
  </si>
  <si>
    <t xml:space="preserve">Offer</t>
  </si>
  <si>
    <t xml:space="preserve">The promotion shown on the store / ad landing page at collection time (bundles like 2+1, % off, free shipping threshold, gifts).</t>
  </si>
  <si>
    <t xml:space="preserve">Oldest ad in Ad Library</t>
  </si>
  <si>
    <t xml:space="preserve">Start date of the oldest ad Meta Ad Library still shows for the page, active or inactive. Best available proxy for when they started advertising.</t>
  </si>
  <si>
    <t xml:space="preserve">Ads in Ad Library</t>
  </si>
  <si>
    <t xml:space="preserve">Number of ads Meta shows for the page (all countries, active + inactive). Meta rounds big numbers.</t>
  </si>
  <si>
    <t xml:space="preserve">Active ads now</t>
  </si>
  <si>
    <t xml:space="preserve">Ads running on the collection date.</t>
  </si>
  <si>
    <t xml:space="preserve">Oldest live ad: start date</t>
  </si>
  <si>
    <t xml:space="preserve">Start date of the longest-running ad that is still active. An ad running for a long time is usually a proven winner.</t>
  </si>
  <si>
    <t xml:space="preserve">Days since …</t>
  </si>
  <si>
    <t xml:space="preserve">Formulas: Data collected on (cell B3) minus the date. Change B3 to TODAY() if you want them to keep counting.</t>
  </si>
  <si>
    <t xml:space="preserve">LIMITATIONS</t>
  </si>
  <si>
    <t xml:space="preserve">Ad retention</t>
  </si>
  <si>
    <t xml:space="preserve">Meta keeps inactive ads that ran in the EU for about 1 year after they stop (DSA rule). Stores advertising longer than that may have started earlier than 'Oldest ad in Ad Library' shows.</t>
  </si>
  <si>
    <t xml:space="preserve">Switzerland</t>
  </si>
  <si>
    <t xml:space="preserve">Switzerland is not in the EU: ads that ran only there disappear from the Ad Library once they stop. For Swiss-only advertisers the oldest-ad date mostly reflects ads that are still running.</t>
  </si>
  <si>
    <t xml:space="preserve">Page vs. store</t>
  </si>
  <si>
    <t xml:space="preserve">Counts are per Facebook page, across all countries. Several brands run one page for many countries (e.g. ESN, Lashilé, Bears with Benefits DE/AT), so their numbers include ads outside the tab's country.</t>
  </si>
  <si>
    <t xml:space="preserve">Prices</t>
  </si>
  <si>
    <t xml:space="preserve">Collected from the store websites on the collection date. Promotions change often.</t>
  </si>
  <si>
    <t xml:space="preserve">Selection</t>
  </si>
  <si>
    <t xml:space="preserve">Stores were found by searching active Meta ads in each country for local words for gummies and food supplements, plus web searches. It is a list of active advertisers, not a full census.</t>
  </si>
  <si>
    <t xml:space="preserve">Blank cell</t>
  </si>
  <si>
    <t xml:space="preserve">The value could not be collected (site blocked the scraper, or Meta throttled the lookup). Open the link to check.</t>
  </si>
  <si>
    <t xml:space="preserve">COLOUR LEGEND</t>
  </si>
  <si>
    <t xml:space="preserve">Blue text</t>
  </si>
  <si>
    <t xml:space="preserve">Numbers collected from websites / Meta Ad Library.</t>
  </si>
  <si>
    <t xml:space="preserve">Black text</t>
  </si>
  <si>
    <t xml:space="preserve">Formulas – do not overwrite.</t>
  </si>
  <si>
    <t xml:space="preserve">Yellow cells</t>
  </si>
  <si>
    <t xml:space="preserve">Inputs you can edit (collection date, FX rates).</t>
  </si>
  <si>
    <t xml:space="preserve">Exchange rates used for EUR conversion</t>
  </si>
  <si>
    <t xml:space="preserve">Approximate rates (assumption, Oct 2026). Edit the yellow cells and every EUR column recalculates.</t>
  </si>
  <si>
    <t xml:space="preserve">Currency</t>
  </si>
  <si>
    <t xml:space="preserve">EUR per 1 unit</t>
  </si>
  <si>
    <t xml:space="preserve">EUR</t>
  </si>
  <si>
    <t xml:space="preserve">CHF</t>
  </si>
  <si>
    <t xml:space="preserve">GBP</t>
  </si>
  <si>
    <t xml:space="preserve">USD</t>
  </si>
  <si>
    <t xml:space="preserve">Summary by country</t>
  </si>
  <si>
    <t xml:space="preserve">Country</t>
  </si>
  <si>
    <t xml:space="preserve">Stores listed</t>
  </si>
  <si>
    <t xml:space="preserve">Stores selling gummies ("Yes…")</t>
  </si>
  <si>
    <t xml:space="preserve">Total ads (all stores)</t>
  </si>
  <si>
    <t xml:space="preserve">Active ads now (all stores)</t>
  </si>
  <si>
    <t xml:space="preserve">Median entry price (EUR)</t>
  </si>
  <si>
    <t xml:space="preserve">Store with most ads</t>
  </si>
  <si>
    <t xml:space="preserve">Earliest oldest ad</t>
  </si>
  <si>
    <t xml:space="preserve">France</t>
  </si>
  <si>
    <t xml:space="preserve">Germany</t>
  </si>
  <si>
    <t xml:space="preserve">Italy</t>
  </si>
  <si>
    <t xml:space="preserve">Belgium</t>
  </si>
  <si>
    <t xml:space="preserve">Netherlands</t>
  </si>
  <si>
    <t xml:space="preserve">Spain</t>
  </si>
  <si>
    <t xml:space="preserve">Portugal</t>
  </si>
  <si>
    <t xml:space="preserve">Ireland</t>
  </si>
  <si>
    <t xml:space="preserve">Austria</t>
  </si>
  <si>
    <t xml:space="preserve">France – stores selling gummies / supplements with Meta ads</t>
  </si>
  <si>
    <t xml:space="preserve">8 stores · Meta data collected on the date in 'Read me'!B3 · sorted by number of ads</t>
  </si>
  <si>
    <t xml:space="preserve">#</t>
  </si>
  <si>
    <t xml:space="preserve">Store</t>
  </si>
  <si>
    <t xml:space="preserve">What they sell</t>
  </si>
  <si>
    <t xml:space="preserve">Sells gummies?</t>
  </si>
  <si>
    <t xml:space="preserve">Entry product</t>
  </si>
  <si>
    <t xml:space="preserve">Entry price (local)</t>
  </si>
  <si>
    <t xml:space="preserve">Entry price (EUR)</t>
  </si>
  <si>
    <t xml:space="preserve">Oldest ad in Ad Library (active or not)</t>
  </si>
  <si>
    <t xml:space="preserve">Days since oldest ad</t>
  </si>
  <si>
    <t xml:space="preserve">Ads in Ad Library (total)</t>
  </si>
  <si>
    <t xml:space="preserve">Days since oldest live ad</t>
  </si>
  <si>
    <t xml:space="preserve">Notes</t>
  </si>
  <si>
    <t xml:space="preserve">French Mush</t>
  </si>
  <si>
    <t xml:space="preserve">https://www.frenchmush.com</t>
  </si>
  <si>
    <t xml:space="preserve">Open Ad Library</t>
  </si>
  <si>
    <t xml:space="preserve">Functional mushroom supplements (capsules, coffee alternative)</t>
  </si>
  <si>
    <t xml:space="preserve">No (capsules/powders)</t>
  </si>
  <si>
    <t xml:space="preserve">Boost coffee alternative (one-time, ~30 days)</t>
  </si>
  <si>
    <t xml:space="preserve">Markdowns −7% to −44%; −10% first order; free delivery in Europe from 68 €</t>
  </si>
  <si>
    <t xml:space="preserve">Mium Lab (ex Les Miraculeux)</t>
  </si>
  <si>
    <t xml:space="preserve">https://www.miumlab.com</t>
  </si>
  <si>
    <t xml:space="preserve">Sugar-free functional gummies (saffron, sleep, hair, immunity…)</t>
  </si>
  <si>
    <t xml:space="preserve">Yes – gummies only</t>
  </si>
  <si>
    <t xml:space="preserve">Saffron + B6 gummies, 1 jar (21 days)</t>
  </si>
  <si>
    <t xml:space="preserve">−15% on 4 jars (74.40 €); −10% subscription; −15% first order</t>
  </si>
  <si>
    <t xml:space="preserve">Harmova</t>
  </si>
  <si>
    <t xml:space="preserve">https://harmova.com</t>
  </si>
  <si>
    <t xml:space="preserve">Intimate-health gummies for women</t>
  </si>
  <si>
    <t xml:space="preserve">Gummies Équilibre Intime</t>
  </si>
  <si>
    <t xml:space="preserve">"Fresh Days" 1+1 FREE</t>
  </si>
  <si>
    <t xml:space="preserve">Shop displayed USD 34 to our scraper; EUR price assumed equal – check the link.</t>
  </si>
  <si>
    <t xml:space="preserve">Lashilé Beauty</t>
  </si>
  <si>
    <t xml:space="preserve">https://www.lashilebeauty.com</t>
  </si>
  <si>
    <t xml:space="preserve">Hair, beauty, tanning &amp; slimming gummies (French DTC, Cooper group)</t>
  </si>
  <si>
    <t xml:space="preserve">Hair growth &amp; fortification gummies – 3-month pack (lowest price shown)</t>
  </si>
  <si>
    <t xml:space="preserve">Bundle prices (e.g. 104.60 → 79.90 €); free express delivery in France; loyalty points</t>
  </si>
  <si>
    <t xml:space="preserve">Also advertises in BE, DE, IT, ES, NL, AT, IE and in CEE.</t>
  </si>
  <si>
    <t xml:space="preserve">Luxéol</t>
  </si>
  <si>
    <t xml:space="preserve">https://luxeol.com</t>
  </si>
  <si>
    <t xml:space="preserve">Hair-growth supplements (capsules) &amp; hair care</t>
  </si>
  <si>
    <t xml:space="preserve">No (capsules)</t>
  </si>
  <si>
    <t xml:space="preserve">Pousse Croissance &amp; Fortification, 1 box (advertised)</t>
  </si>
  <si>
    <t xml:space="preserve">−30% sitewide with code AUTOMNE30 + free conditioner from 50 €; 2 boxes −6%</t>
  </si>
  <si>
    <t xml:space="preserve">Valebio</t>
  </si>
  <si>
    <t xml:space="preserve">https://www.valebio.com</t>
  </si>
  <si>
    <t xml:space="preserve">French clean-label supplements (slimming, sleep, beauty) – also in 300+ pharmacies</t>
  </si>
  <si>
    <t xml:space="preserve">Brûleur+ thermogenesis, 60 caps (advertised)</t>
  </si>
  <si>
    <t xml:space="preserve">Free delivery from 39.90 €</t>
  </si>
  <si>
    <t xml:space="preserve">Naturactive</t>
  </si>
  <si>
    <t xml:space="preserve">https://www.naturactive.fr</t>
  </si>
  <si>
    <t xml:space="preserve">Pierre Fabre herbal supplements (capsules, essential oils)</t>
  </si>
  <si>
    <t xml:space="preserve">Règles Douloureuses capsules (advertised)</t>
  </si>
  <si>
    <t xml:space="preserve">−20% on basket; −25% on Sériane range; free delivery from 39 €</t>
  </si>
  <si>
    <t xml:space="preserve">Dosé</t>
  </si>
  <si>
    <t xml:space="preserve">https://dose-labo.com</t>
  </si>
  <si>
    <t xml:space="preserve">Vitamin gummies &amp; powders (new French brand, launch campaign)</t>
  </si>
  <si>
    <t xml:space="preserve">Yes (Créa Gummies = bestseller)</t>
  </si>
  <si>
    <t xml:space="preserve">Créa Gummies (creatine 3 g)</t>
  </si>
  <si>
    <t xml:space="preserve">27.92 € with subscription; free delivery from 39 €; free gift from 50 €; 30-day money-back</t>
  </si>
  <si>
    <t xml:space="preserve">Germany – stores selling gummies / supplements with Meta ads</t>
  </si>
  <si>
    <t xml:space="preserve">ahead</t>
  </si>
  <si>
    <t xml:space="preserve">https://www.ahead-nutrition.com</t>
  </si>
  <si>
    <t xml:space="preserve">Low-sugar fruit gummies (candy, not supplements)</t>
  </si>
  <si>
    <t xml:space="preserve">Yes – candy gummies</t>
  </si>
  <si>
    <t xml:space="preserve">Mini tasting pack 6 × 50 g</t>
  </si>
  <si>
    <t xml:space="preserve">Tasting packs; free shipping from 49 €</t>
  </si>
  <si>
    <t xml:space="preserve">Sugar-reduced sweets, not food supplements.</t>
  </si>
  <si>
    <t xml:space="preserve">ESN</t>
  </si>
  <si>
    <t xml:space="preserve">https://www.esn.com</t>
  </si>
  <si>
    <t xml:space="preserve">Sports nutrition incl. creatine gummies (one page for many countries)</t>
  </si>
  <si>
    <t xml:space="preserve">Yes (creatine gummies)</t>
  </si>
  <si>
    <t xml:space="preserve">Creatine Gummies</t>
  </si>
  <si>
    <t xml:space="preserve">−20% on Hydration &amp; Immunity; −15% for new members</t>
  </si>
  <si>
    <t xml:space="preserve">One ESN page runs ads in DE, FR, IT, NL/BE, AT.</t>
  </si>
  <si>
    <t xml:space="preserve">Bears with Benefits</t>
  </si>
  <si>
    <t xml:space="preserve">https://www.bears-with-benefits.com</t>
  </si>
  <si>
    <t xml:space="preserve">Vitamin gummy bears (hair, PMS, sleep, shape…) – EU market leader</t>
  </si>
  <si>
    <t xml:space="preserve">Promo bundle (from)</t>
  </si>
  <si>
    <t xml:space="preserve">Promo sets up to −24%; extra discount with code GRATISSHAPE; free shipping in DE &amp; AT from 49 €</t>
  </si>
  <si>
    <t xml:space="preserve">Owned by Havea (FR). Same page serves DE and AT.</t>
  </si>
  <si>
    <t xml:space="preserve">Hormonella</t>
  </si>
  <si>
    <t xml:space="preserve">https://hormonella.co</t>
  </si>
  <si>
    <t xml:space="preserve">Hormone-balance supplements for women (plant extracts, micronutrients)</t>
  </si>
  <si>
    <t xml:space="preserve">Single complex (from)</t>
  </si>
  <si>
    <t xml:space="preserve">Balance programme bundle 199 €</t>
  </si>
  <si>
    <t xml:space="preserve">femiPore (Femipure)</t>
  </si>
  <si>
    <t xml:space="preserve">https://femipore.de</t>
  </si>
  <si>
    <t xml:space="preserve">Women's intimate-health gummies (pH, moisture, balance)</t>
  </si>
  <si>
    <t xml:space="preserve">Intimate-balance gummies, 1 pack</t>
  </si>
  <si>
    <t xml:space="preserve">57% autumn discount (49.99 → 29.99 €); 20% coupon; 90-day guarantee</t>
  </si>
  <si>
    <t xml:space="preserve">wowtamins</t>
  </si>
  <si>
    <t xml:space="preserve">https://www.wowtamins.de</t>
  </si>
  <si>
    <t xml:space="preserve">Kids &amp; teens gummies (omega-3, magnesium, vitamins)</t>
  </si>
  <si>
    <t xml:space="preserve">Magnesium gummies (sugar-free)</t>
  </si>
  <si>
    <t xml:space="preserve">Multi-buy savings (save 3.98 € / 11.92 €); 10–15% discount codes; free shipping from 25 €</t>
  </si>
  <si>
    <t xml:space="preserve">H.P.N</t>
  </si>
  <si>
    <t xml:space="preserve">https://hpn-store.de</t>
  </si>
  <si>
    <t xml:space="preserve">Sports supplements (creatine, multi)</t>
  </si>
  <si>
    <t xml:space="preserve">No (powder/capsules)</t>
  </si>
  <si>
    <t xml:space="preserve">Creatine+ (advertised)</t>
  </si>
  <si>
    <t xml:space="preserve">−5% (29.99 → 28.49 €); −1.50 € with code ALEXHPN; 10% insider discount</t>
  </si>
  <si>
    <t xml:space="preserve">69 Days Ladies by ALEX &amp; MARIE (bettertaste)</t>
  </si>
  <si>
    <t xml:space="preserve">https://bettertaste.shop</t>
  </si>
  <si>
    <t xml:space="preserve">Diet &amp; protein foods + "Yummy Mummy" supplement</t>
  </si>
  <si>
    <t xml:space="preserve">No</t>
  </si>
  <si>
    <t xml:space="preserve">Erythritol sugar substitute (cheapest)</t>
  </si>
  <si>
    <t xml:space="preserve">Free recipe e-book with Yummy Mummy; protein creams −30%</t>
  </si>
  <si>
    <t xml:space="preserve">Italy – stores selling gummies / supplements with Meta ads</t>
  </si>
  <si>
    <t xml:space="preserve">9 stores · Meta data collected on the date in 'Read me'!B3 · sorted by number of ads</t>
  </si>
  <si>
    <t xml:space="preserve">Sensilab.it</t>
  </si>
  <si>
    <t xml:space="preserve">https://www.sensilab.it</t>
  </si>
  <si>
    <t xml:space="preserve">Own-brand supplements (weight loss, detox, hormones) – Slovenian group</t>
  </si>
  <si>
    <t xml:space="preserve">Some</t>
  </si>
  <si>
    <t xml:space="preserve">Testosterone-support supplement (cheapest bestseller)</t>
  </si>
  <si>
    <t xml:space="preserve">Bestsellers −11% to −50%; extra 10% saving (ads); free shipping over 50 €</t>
  </si>
  <si>
    <t xml:space="preserve">N2 Natural Nutrition</t>
  </si>
  <si>
    <t xml:space="preserve">https://www.n2naturalnutrition.it</t>
  </si>
  <si>
    <t xml:space="preserve">Probiotics, berberine, wellness supplements</t>
  </si>
  <si>
    <t xml:space="preserve">Wellness supplement (cheapest)</t>
  </si>
  <si>
    <t xml:space="preserve">Markdowns −10% to −29% (e.g. Women's Symbiotics 35.00 → 24.95 €)</t>
  </si>
  <si>
    <t xml:space="preserve">Avanelle</t>
  </si>
  <si>
    <t xml:space="preserve">https://avanellelab.com</t>
  </si>
  <si>
    <t xml:space="preserve">Creatine gummies (US DTC brand)</t>
  </si>
  <si>
    <t xml:space="preserve">Creatine gummies (strawberry), 1 pack</t>
  </si>
  <si>
    <t xml:space="preserve">15% off everything; Buy 2 + 1 free; Buy 3 + 2 free; free shipping on subscription</t>
  </si>
  <si>
    <t xml:space="preserve">Not Italian: a US brand whose ads reach Italy/Belgium/NL; prices in USD.</t>
  </si>
  <si>
    <t xml:space="preserve">French Mush Italia</t>
  </si>
  <si>
    <t xml:space="preserve">https://www.frenchmush.com/it</t>
  </si>
  <si>
    <t xml:space="preserve">Boost coffee alternative (one-time)</t>
  </si>
  <si>
    <t xml:space="preserve">Markdowns up to −44%; −10% first order; free delivery in Europe from 68 €</t>
  </si>
  <si>
    <t xml:space="preserve">Italian page of the French brand French Mush.</t>
  </si>
  <si>
    <t xml:space="preserve">Bears with Benefits Italia</t>
  </si>
  <si>
    <t xml:space="preserve">https://www.bears-with-benefits.it</t>
  </si>
  <si>
    <t xml:space="preserve">Vitamin gummy bears (hair, slimming, sleep…)</t>
  </si>
  <si>
    <t xml:space="preserve">Burn Baby Burn gummies (45 days)</t>
  </si>
  <si>
    <t xml:space="preserve">−19% (advertised); promo sets up to −24%; free shipping</t>
  </si>
  <si>
    <t xml:space="preserve">Vitastrong.it</t>
  </si>
  <si>
    <t xml:space="preserve">https://www.vitastrong.it</t>
  </si>
  <si>
    <t xml:space="preserve">Italian sports &amp; wellness supplements + ambassador programme</t>
  </si>
  <si>
    <t xml:space="preserve">No (powders/tablets)</t>
  </si>
  <si>
    <t xml:space="preserve">Tablets 150 cpr (reduce tiredness)</t>
  </si>
  <si>
    <t xml:space="preserve">Markdowns −9% to −40% (e.g. creatine 23.99 → 19.99 €); free shipping over 19.90 €; ambassador ads</t>
  </si>
  <si>
    <t xml:space="preserve">NutriSonno</t>
  </si>
  <si>
    <t xml:space="preserve">https://nutri-sonno.com</t>
  </si>
  <si>
    <t xml:space="preserve">Magnesium bisglycinate gummies (sleep) – advertorial funnel</t>
  </si>
  <si>
    <t xml:space="preserve">Magnesium gummies, 1 bag (1 month)</t>
  </si>
  <si>
    <t xml:space="preserve">39.90 → 29.90 €; 2 bags 44.90 €; 3 bags + 1 free 79.90 €; "promo ending" countdown</t>
  </si>
  <si>
    <t xml:space="preserve">Zymerex</t>
  </si>
  <si>
    <t xml:space="preserve">https://www.zymerex.it</t>
  </si>
  <si>
    <t xml:space="preserve">Herbal supplements (anxiety, regularity, magnesium)</t>
  </si>
  <si>
    <t xml:space="preserve">Magnesium (Amazon store, −53%)</t>
  </si>
  <si>
    <t xml:space="preserve">Amazon store markdowns −5% to −53%</t>
  </si>
  <si>
    <t xml:space="preserve">Ads link to the brand's Amazon store.</t>
  </si>
  <si>
    <t xml:space="preserve">PrinFit</t>
  </si>
  <si>
    <t xml:space="preserve">https://www.prinfit.com</t>
  </si>
  <si>
    <t xml:space="preserve">Italian sports &amp; wellness supplements</t>
  </si>
  <si>
    <t xml:space="preserve">Cheapest product (from)</t>
  </si>
  <si>
    <t xml:space="preserve">Markdowns (e.g. 17.90 → 12.90 €, 31.90 → 21.90 €)</t>
  </si>
  <si>
    <t xml:space="preserve">Belgium – stores selling gummies / supplements with Meta ads</t>
  </si>
  <si>
    <t xml:space="preserve">Kruidvat België/Belgique</t>
  </si>
  <si>
    <t xml:space="preserve">https://www.kruidvat.be</t>
  </si>
  <si>
    <t xml:space="preserve">Drugstore chain: health, vitamins, Lucovitaal supplements</t>
  </si>
  <si>
    <t xml:space="preserve">Yes (multi-brand)</t>
  </si>
  <si>
    <t xml:space="preserve">Lucovitaal range 1+1 free; 2+1 free on Kruidvat multivitamins</t>
  </si>
  <si>
    <t xml:space="preserve">Same page as France.</t>
  </si>
  <si>
    <t xml:space="preserve">Hair, beauty, tanning &amp; slimming gummies (French DTC)</t>
  </si>
  <si>
    <t xml:space="preserve">Hair growth &amp; fortification gummies – 3-month pack</t>
  </si>
  <si>
    <t xml:space="preserve">Bundle prices (e.g. 104.60 → 79.90 €); loyalty points</t>
  </si>
  <si>
    <t xml:space="preserve">Farmaline</t>
  </si>
  <si>
    <t xml:space="preserve">https://www.farmaline.be</t>
  </si>
  <si>
    <t xml:space="preserve">Belgian online pharmacy (shop-apotheke group)</t>
  </si>
  <si>
    <t xml:space="preserve">Multivitamin (from, −34%)</t>
  </si>
  <si>
    <t xml:space="preserve">Up to −38%; €5 newsletter code; free shipping thresholds; app promos</t>
  </si>
  <si>
    <t xml:space="preserve">AlphaVit</t>
  </si>
  <si>
    <t xml:space="preserve">https://alphavit-officiel.com</t>
  </si>
  <si>
    <t xml:space="preserve">Gummy supplement (single product, French-language DTC)</t>
  </si>
  <si>
    <t xml:space="preserve">Alphavit gummies – 2 bags (1+1 free, 60 days)</t>
  </si>
  <si>
    <t xml:space="preserve">1+1 FREE (2 bags for 34.99 € instead of 69.98 €); delivery included</t>
  </si>
  <si>
    <t xml:space="preserve">French-language store; ads target Belgium and France.</t>
  </si>
  <si>
    <t xml:space="preserve">Bears with Benefits (NL/BE)</t>
  </si>
  <si>
    <t xml:space="preserve">https://www.bears-with-benefits.nl</t>
  </si>
  <si>
    <t xml:space="preserve">Vitamin gummy bears</t>
  </si>
  <si>
    <t xml:space="preserve">Gummy bears, 1 pack (offer)</t>
  </si>
  <si>
    <t xml:space="preserve">Free delivery in NL &amp; BE from 29 €</t>
  </si>
  <si>
    <t xml:space="preserve">Same page as the Netherlands.</t>
  </si>
  <si>
    <t xml:space="preserve">Santurel</t>
  </si>
  <si>
    <t xml:space="preserve">https://www.santurel.net</t>
  </si>
  <si>
    <t xml:space="preserve">Belgian science-based supplements (sleep, eyes, magnesium, ashwagandha)</t>
  </si>
  <si>
    <t xml:space="preserve">Somnia sleep capsules, 90 caps (advertised)</t>
  </si>
  <si>
    <t xml:space="preserve">−12% from 3 jars of the same product; bundles; free delivery from 40 €</t>
  </si>
  <si>
    <t xml:space="preserve">Decola Nutraceutics</t>
  </si>
  <si>
    <t xml:space="preserve">https://www.decola.be</t>
  </si>
  <si>
    <t xml:space="preserve">Belgian premium supplements (OPC, glucosamine, cognition)</t>
  </si>
  <si>
    <t xml:space="preserve">OPC (bestseller)</t>
  </si>
  <si>
    <t xml:space="preserve">Newsletter promotions</t>
  </si>
  <si>
    <t xml:space="preserve">Netherlands – stores selling gummies / supplements with Meta ads</t>
  </si>
  <si>
    <t xml:space="preserve">WeightWorld</t>
  </si>
  <si>
    <t xml:space="preserve">https://www.weightworld.nl</t>
  </si>
  <si>
    <t xml:space="preserve">Multi-product supplements webshop (gummies, capsules)</t>
  </si>
  <si>
    <t xml:space="preserve">Yes (some gummies)</t>
  </si>
  <si>
    <t xml:space="preserve">Omega-3 240 softgels (offer)</t>
  </si>
  <si>
    <t xml:space="preserve">Sale page (24.99 → 21.99 €); free shipping</t>
  </si>
  <si>
    <t xml:space="preserve">Ahead Nederland</t>
  </si>
  <si>
    <t xml:space="preserve">https://www.ahead-nutrition.com/nl-nl</t>
  </si>
  <si>
    <t xml:space="preserve">Gummies proefbox 12 × 50 g</t>
  </si>
  <si>
    <t xml:space="preserve">Tasting box; free shipping thresholds</t>
  </si>
  <si>
    <t xml:space="preserve">Hairlust</t>
  </si>
  <si>
    <t xml:space="preserve">https://hairlust.com</t>
  </si>
  <si>
    <t xml:space="preserve">Hair-growth gummies &amp; hair care (Danish brand)</t>
  </si>
  <si>
    <t xml:space="preserve">Yes (hair gummies)</t>
  </si>
  <si>
    <t xml:space="preserve">Bundles (Curl Crush bundle)</t>
  </si>
  <si>
    <t xml:space="preserve">Ads point to Norwegian/Danish storefronts; no NL price captured.</t>
  </si>
  <si>
    <t xml:space="preserve">Dailipharma</t>
  </si>
  <si>
    <t xml:space="preserve">https://dailipharma.com</t>
  </si>
  <si>
    <t xml:space="preserve">Liquid supplement ampoules (collagen, joints)</t>
  </si>
  <si>
    <t xml:space="preserve">No (liquid shots)</t>
  </si>
  <si>
    <t xml:space="preserve">Daili Movement, 28 ampoules (one-time)</t>
  </si>
  <si>
    <t xml:space="preserve">Subscription −16% (62.92 €); always free shipping</t>
  </si>
  <si>
    <t xml:space="preserve">Vitaminfit</t>
  </si>
  <si>
    <t xml:space="preserve">https://vitaminfit.com</t>
  </si>
  <si>
    <t xml:space="preserve">Vitamin syrups &amp; drops (kids &amp; adults)</t>
  </si>
  <si>
    <t xml:space="preserve">No (syrups/drops)</t>
  </si>
  <si>
    <t xml:space="preserve">Kids multivitamin + D3 drops (from)</t>
  </si>
  <si>
    <t xml:space="preserve">Markdowns (26.95 → 22.70 €); next-day delivery</t>
  </si>
  <si>
    <t xml:space="preserve">STR Nordic</t>
  </si>
  <si>
    <t xml:space="preserve">https://strnordic.nl</t>
  </si>
  <si>
    <t xml:space="preserve">Scandinavian supplements (magnesium etc.) via trial offers</t>
  </si>
  <si>
    <t xml:space="preserve">Trial: 5 months for 24.95 €</t>
  </si>
  <si>
    <t xml:space="preserve">"Only €24.95 for 5 months" trial incl. free shipping (then subscription)</t>
  </si>
  <si>
    <t xml:space="preserve">Bears with Benefits Netherland</t>
  </si>
  <si>
    <t xml:space="preserve">Sale prices; free beauty test; free delivery in NL &amp; BE from 29 €</t>
  </si>
  <si>
    <t xml:space="preserve">Puur Mieke</t>
  </si>
  <si>
    <t xml:space="preserve">https://www.puurmieke.nl</t>
  </si>
  <si>
    <t xml:space="preserve">Organic food &amp; supplements webshop</t>
  </si>
  <si>
    <t xml:space="preserve">−10% / −20% markdowns; free shaker; free recipe book; free shipping NL &amp; BE from 55 €</t>
  </si>
  <si>
    <t xml:space="preserve">FutuNatura.nl</t>
  </si>
  <si>
    <t xml:space="preserve">https://www.futunatura.nl</t>
  </si>
  <si>
    <t xml:space="preserve">Own-brand supplements incl. gummies (Slovenian group)</t>
  </si>
  <si>
    <t xml:space="preserve">Yes (part of range)</t>
  </si>
  <si>
    <t xml:space="preserve">Sweet Dreams liquid supplement (advertised)</t>
  </si>
  <si>
    <t xml:space="preserve">−15/−17% (11.99 → 9.99 €); free shipping over 39.99 €; gift over 100 €</t>
  </si>
  <si>
    <t xml:space="preserve">Spain – stores selling gummies / supplements with Meta ads</t>
  </si>
  <si>
    <t xml:space="preserve">Aldous Bio</t>
  </si>
  <si>
    <t xml:space="preserve">https://aldousbio.com</t>
  </si>
  <si>
    <t xml:space="preserve">Organic, plastic-free supplements incl. collagen gummies</t>
  </si>
  <si>
    <t xml:space="preserve">Hydrolysed collagen gummies</t>
  </si>
  <si>
    <t xml:space="preserve">−20% (21.97 → 17.57 €); 3 products −32%; free shipping 24–48 h</t>
  </si>
  <si>
    <t xml:space="preserve">V-Gummies</t>
  </si>
  <si>
    <t xml:space="preserve">https://v-gummies.com</t>
  </si>
  <si>
    <t xml:space="preserve">Apple-cider-vinegar gummies for women (advertorial funnels)</t>
  </si>
  <si>
    <t xml:space="preserve">D-Tox ACV gummies, 1 bag (25 days)</t>
  </si>
  <si>
    <t xml:space="preserve">Buy 2, get 1 FREE (23.80 €/bag); Buy 3, get 2 FREE (−40%); free express shipping</t>
  </si>
  <si>
    <t xml:space="preserve">Vitobest</t>
  </si>
  <si>
    <t xml:space="preserve">https://www.vitobest.com</t>
  </si>
  <si>
    <t xml:space="preserve">Spanish sports nutrition (creatine, protein)</t>
  </si>
  <si>
    <t xml:space="preserve">Site blocked our scraper (Cloudflare) – open the link for prices.</t>
  </si>
  <si>
    <t xml:space="preserve">Bears with Benefits España</t>
  </si>
  <si>
    <t xml:space="preserve">https://www.bears-with-benefits.es</t>
  </si>
  <si>
    <t xml:space="preserve">Ah-mazing Hair (sugar-free), 45 days</t>
  </si>
  <si>
    <t xml:space="preserve">−19% (advertised); promotions up to −11% on sets; free shipping from 29 €</t>
  </si>
  <si>
    <t xml:space="preserve">Primal Pump</t>
  </si>
  <si>
    <t xml:space="preserve">https://primalpump.es</t>
  </si>
  <si>
    <t xml:space="preserve">Sugar-free creatine gummies</t>
  </si>
  <si>
    <t xml:space="preserve">Creatine gummies, 1 unit</t>
  </si>
  <si>
    <t xml:space="preserve">3 units 27.62 €/unit; 5 units 25.99 €/unit; free shipping</t>
  </si>
  <si>
    <t xml:space="preserve">Laboratorios Mahen</t>
  </si>
  <si>
    <t xml:space="preserve">https://www.mahen.es</t>
  </si>
  <si>
    <t xml:space="preserve">Spanish lab: hair, energy, detox, skin supplements</t>
  </si>
  <si>
    <t xml:space="preserve">No (capsules/liquids)</t>
  </si>
  <si>
    <t xml:space="preserve">Energy capsules (cheapest)</t>
  </si>
  <si>
    <t xml:space="preserve">−15% with code ESPECIAL15 (in ad link); free shipping from 40 €</t>
  </si>
  <si>
    <t xml:space="preserve">Sonvital</t>
  </si>
  <si>
    <t xml:space="preserve">https://sonvital.com</t>
  </si>
  <si>
    <t xml:space="preserve">Lymphatic drainage / slimming supplement</t>
  </si>
  <si>
    <t xml:space="preserve">1 unit 29.90 € (was 60 €); 2 units 49.90 €; free shipping</t>
  </si>
  <si>
    <t xml:space="preserve">Entry product: lymphatic drainage, 2 months.</t>
  </si>
  <si>
    <t xml:space="preserve">Femive</t>
  </si>
  <si>
    <t xml:space="preserve">https://www.femive.com</t>
  </si>
  <si>
    <t xml:space="preserve">Women's gummies (chlorophyll, vaginal probiotic)</t>
  </si>
  <si>
    <t xml:space="preserve">Chlorophyll gummies, 30 days</t>
  </si>
  <si>
    <t xml:space="preserve">39.95 → 29.95 €; 60 gummies 44.95 €; 90 gummies 59.95 €</t>
  </si>
  <si>
    <t xml:space="preserve">Arama Natural Products España</t>
  </si>
  <si>
    <t xml:space="preserve">https://aramanatural.es</t>
  </si>
  <si>
    <t xml:space="preserve">Natural supplements (joints – Progen, collagen)</t>
  </si>
  <si>
    <t xml:space="preserve">Site blocked our scraper.</t>
  </si>
  <si>
    <t xml:space="preserve">Portugal – stores selling gummies / supplements with Meta ads</t>
  </si>
  <si>
    <t xml:space="preserve">Sensilab.pt</t>
  </si>
  <si>
    <t xml:space="preserve">https://www.sensilab.pt</t>
  </si>
  <si>
    <t xml:space="preserve">Own-brand supplements (Slovenian group)</t>
  </si>
  <si>
    <t xml:space="preserve">Hepafar forte PREMIUM (1+1 free)</t>
  </si>
  <si>
    <t xml:space="preserve">1+1 FREE on bestsellers (Hepafar, Thyrolux, Estrolux, Fat Out); −50%; free delivery over 45 €</t>
  </si>
  <si>
    <t xml:space="preserve">WeightWorld PT</t>
  </si>
  <si>
    <t xml:space="preserve">https://www.weightworld.com.pt</t>
  </si>
  <si>
    <t xml:space="preserve">Multi-product supplements webshop incl. gummies</t>
  </si>
  <si>
    <t xml:space="preserve">Vegan gummies 1200 mg, 120 pcs</t>
  </si>
  <si>
    <t xml:space="preserve">Launch campaign "WeightWorld arrived in Portugal"</t>
  </si>
  <si>
    <t xml:space="preserve">Aldous Bio Portugal</t>
  </si>
  <si>
    <t xml:space="preserve">https://aldousbio.pt</t>
  </si>
  <si>
    <t xml:space="preserve">−20%; 3 products −32%; free shipping</t>
  </si>
  <si>
    <t xml:space="preserve">Maxnésio</t>
  </si>
  <si>
    <t xml:space="preserve">https://maxnesio.pt</t>
  </si>
  <si>
    <t xml:space="preserve">Magnesium supplements</t>
  </si>
  <si>
    <t xml:space="preserve">Confidence-Mulher</t>
  </si>
  <si>
    <t xml:space="preserve">https://confidence-mulher.pt</t>
  </si>
  <si>
    <t xml:space="preserve">(Peri)menopause supplements</t>
  </si>
  <si>
    <t xml:space="preserve">NutriBio</t>
  </si>
  <si>
    <t xml:space="preserve">https://nutribio.pt</t>
  </si>
  <si>
    <t xml:space="preserve">Supplements webshop (TomasVit, New Nordic…)</t>
  </si>
  <si>
    <t xml:space="preserve">Kids sleep syrup 150 ml (cheapest)</t>
  </si>
  <si>
    <t xml:space="preserve">Buy 4 pay 3 on TomasVit; −17% to −27% markdowns; free shipping from 30 €</t>
  </si>
  <si>
    <t xml:space="preserve">Eu Sou Gira</t>
  </si>
  <si>
    <t xml:space="preserve">https://eusougira.com</t>
  </si>
  <si>
    <t xml:space="preserve">Beauty &amp; wellness supplements (GIRA)</t>
  </si>
  <si>
    <t xml:space="preserve">Free shipping from 45 € in Portugal</t>
  </si>
  <si>
    <t xml:space="preserve">Viva Melhor</t>
  </si>
  <si>
    <t xml:space="preserve">https://vivamelhor.pt</t>
  </si>
  <si>
    <t xml:space="preserve">Multivitamins, magnesium, sleep &amp; slimming supplements</t>
  </si>
  <si>
    <t xml:space="preserve">Floricalm Night-Night (sleep)</t>
  </si>
  <si>
    <t xml:space="preserve">Weight-loss pack on sale (65 → 55 €)</t>
  </si>
  <si>
    <t xml:space="preserve">Nature Heals</t>
  </si>
  <si>
    <t xml:space="preserve">https://natureheals.pt</t>
  </si>
  <si>
    <t xml:space="preserve">Natural supplements webshop (Biogena, London Nootropics…)</t>
  </si>
  <si>
    <t xml:space="preserve">Nootropic coffee 12 sachets (cheapest featured)</t>
  </si>
  <si>
    <t xml:space="preserve">Promotions; free shipping from 30 € (mainland)</t>
  </si>
  <si>
    <t xml:space="preserve">Switzerland – stores selling gummies / supplements with Meta ads</t>
  </si>
  <si>
    <t xml:space="preserve">12 stores · Meta data collected on the date in 'Read me'!B3 · sorted by number of ads</t>
  </si>
  <si>
    <t xml:space="preserve">Lynae</t>
  </si>
  <si>
    <t xml:space="preserve">https://lynae.co</t>
  </si>
  <si>
    <t xml:space="preserve">Lymphatic-drainage supplement for women (French DTC)</t>
  </si>
  <si>
    <t xml:space="preserve">No (liquid)</t>
  </si>
  <si>
    <t xml:space="preserve">Drainant Lymphatique, 1 bottle (30 days)</t>
  </si>
  <si>
    <t xml:space="preserve">Buy 2 + 1 free (16.60 €/bottle); 3 + 2 free (14.98 €); free delivery from 40 €</t>
  </si>
  <si>
    <t xml:space="preserve">French brand targeting Swiss French-speakers; shop shows EUR.</t>
  </si>
  <si>
    <t xml:space="preserve">French brand advertising to French-speaking Switzerland; same page as France.</t>
  </si>
  <si>
    <t xml:space="preserve">Pousse Croissance &amp; Fortification, 1 box</t>
  </si>
  <si>
    <t xml:space="preserve">−30% sitewide with code AUTOMNE30</t>
  </si>
  <si>
    <t xml:space="preserve">Purazell</t>
  </si>
  <si>
    <t xml:space="preserve">https://purazell.de</t>
  </si>
  <si>
    <t xml:space="preserve">Liposomal vitamins, collagen, raw foods</t>
  </si>
  <si>
    <t xml:space="preserve">Liposomal NADH 150 ml</t>
  </si>
  <si>
    <t xml:space="preserve">"NUR" sale prices</t>
  </si>
  <si>
    <t xml:space="preserve">German shop advertising in Switzerland.</t>
  </si>
  <si>
    <t xml:space="preserve">Herbano</t>
  </si>
  <si>
    <t xml:space="preserve">https://herbano.com/ch</t>
  </si>
  <si>
    <t xml:space="preserve">Natural supplements &amp; complaint-based bundles (people &amp; pets)</t>
  </si>
  <si>
    <t xml:space="preserve">Durchschlaf sleep pack (GABA + melatonin)</t>
  </si>
  <si>
    <t xml:space="preserve">Bundles ~−10% (e.g. 69.85 → 61.95 CHF); free shipping from CHF 109.90</t>
  </si>
  <si>
    <t xml:space="preserve">German shop with a Swiss storefront.</t>
  </si>
  <si>
    <t xml:space="preserve">Feelgood-Shop</t>
  </si>
  <si>
    <t xml:space="preserve">https://www.feelgood-shop.com</t>
  </si>
  <si>
    <t xml:space="preserve">Online supplement shop (omega-3, vitamins, minerals)</t>
  </si>
  <si>
    <t xml:space="preserve">Vegan supplement (cheapest featured)</t>
  </si>
  <si>
    <t xml:space="preserve">Markdowns −5% to −30%; 10% newsletter code; shipping to Switzerland 5.90 €</t>
  </si>
  <si>
    <t xml:space="preserve">German shop shipping to Switzerland (prices in EUR).</t>
  </si>
  <si>
    <t xml:space="preserve">Kanela</t>
  </si>
  <si>
    <t xml:space="preserve">https://kanela.ch</t>
  </si>
  <si>
    <t xml:space="preserve">Swiss online drugstore (supplements, natural remedies)</t>
  </si>
  <si>
    <t xml:space="preserve">BIOnaturis Hirse Plus capsules, 120 pcs (advertised brand)</t>
  </si>
  <si>
    <t xml:space="preserve">BIOnaturis −10% / −25% / −33%; free shipping from CHF 100; buy on invoice</t>
  </si>
  <si>
    <t xml:space="preserve">Nurnatur Würzenbach Drogerie</t>
  </si>
  <si>
    <t xml:space="preserve">https://www.nurnatur.ch</t>
  </si>
  <si>
    <t xml:space="preserve">Swiss drugstore with natural-remedy house brands</t>
  </si>
  <si>
    <t xml:space="preserve">Magnesium Biomed UNO</t>
  </si>
  <si>
    <t xml:space="preserve">https://www.magnesium-biomed.ch</t>
  </si>
  <si>
    <t xml:space="preserve">Swiss magnesium supplements (Biomed AG)</t>
  </si>
  <si>
    <t xml:space="preserve">No (sachets/tablets)</t>
  </si>
  <si>
    <t xml:space="preserve">Bodysport</t>
  </si>
  <si>
    <t xml:space="preserve">https://bodysport.ch</t>
  </si>
  <si>
    <t xml:space="preserve">Swiss sport nutrition &amp; wellness shop (Alpine Labs etc.)</t>
  </si>
  <si>
    <t xml:space="preserve">Cheapest bestseller</t>
  </si>
  <si>
    <t xml:space="preserve">Promotions; free delivery from CHF 80</t>
  </si>
  <si>
    <t xml:space="preserve">PlantaVis Beauty</t>
  </si>
  <si>
    <t xml:space="preserve">https://www.plantavis.ch</t>
  </si>
  <si>
    <t xml:space="preserve">Swiss natural supplements (D3/K2, menopause, liver, collagen drink)</t>
  </si>
  <si>
    <t xml:space="preserve">Curcuma &amp; frankincense capsules</t>
  </si>
  <si>
    <t xml:space="preserve">Free shipping from CHF 80 (else CHF 8); pay by invoice</t>
  </si>
  <si>
    <t xml:space="preserve">Helvilab</t>
  </si>
  <si>
    <t xml:space="preserve">https://helvilab.com</t>
  </si>
  <si>
    <t xml:space="preserve">Swiss supplements (prostate, hormones, sugar &amp; fat metabolism, joints)</t>
  </si>
  <si>
    <t xml:space="preserve">Bestseller capsules (from)</t>
  </si>
  <si>
    <t xml:space="preserve">25% off entire range; 10% newsletter; 15-day money-back</t>
  </si>
  <si>
    <t xml:space="preserve">Ireland – stores selling gummies / supplements with Meta ads</t>
  </si>
  <si>
    <t xml:space="preserve">Novomins Nutrition</t>
  </si>
  <si>
    <t xml:space="preserve">https://novomins.com</t>
  </si>
  <si>
    <t xml:space="preserve">Sugar-free gummies (multivitamin, creatine, kids)</t>
  </si>
  <si>
    <t xml:space="preserve">Kids Calm &amp; Collected bundle</t>
  </si>
  <si>
    <t xml:space="preserve">Women's bundle 50% off; free cap over a spend threshold; no customs fees</t>
  </si>
  <si>
    <t xml:space="preserve">Shop showed USD to our scraper (geo-pricing); EUR price on the Irish site may differ.</t>
  </si>
  <si>
    <t xml:space="preserve">Beleaze</t>
  </si>
  <si>
    <t xml:space="preserve">https://www.beleaze.com</t>
  </si>
  <si>
    <t xml:space="preserve">Zeolite detox gummies for kids (US)</t>
  </si>
  <si>
    <t xml:space="preserve">Kids zeolite detox gummies</t>
  </si>
  <si>
    <t xml:space="preserve">−20% subscribe; free shipping over $50 / on first order</t>
  </si>
  <si>
    <t xml:space="preserve">US store, prices in USD.</t>
  </si>
  <si>
    <t xml:space="preserve">UltimaPeak</t>
  </si>
  <si>
    <t xml:space="preserve">https://ultimapeak.com</t>
  </si>
  <si>
    <t xml:space="preserve">Shilajit gummies for men (quiz funnel)</t>
  </si>
  <si>
    <t xml:space="preserve">Shilajit daily gummies, 1 pack</t>
  </si>
  <si>
    <t xml:space="preserve">"Up to 70% off today"; Buy 2 get 1 free; Buy 3 get 2 free</t>
  </si>
  <si>
    <t xml:space="preserve">US-style DTC funnel targeting Ireland; prices in USD.</t>
  </si>
  <si>
    <t xml:space="preserve">Holland &amp; Barrett (IE)</t>
  </si>
  <si>
    <t xml:space="preserve">https://www.hollandandbarrett.ie</t>
  </si>
  <si>
    <t xml:space="preserve">Health store chain: vitamins, own-label gummies (women's multi, creatine)</t>
  </si>
  <si>
    <t xml:space="preserve">Yes (own-label gummies)</t>
  </si>
  <si>
    <t xml:space="preserve">3-for-2 mix &amp; match item</t>
  </si>
  <si>
    <t xml:space="preserve">20% off €45 / 15% off €35; Buy 1 get 1 half price; 3 for 2; 20% off first order</t>
  </si>
  <si>
    <t xml:space="preserve">MacLir</t>
  </si>
  <si>
    <t xml:space="preserve">https://maclir.co</t>
  </si>
  <si>
    <t xml:space="preserve">Creatine gummies</t>
  </si>
  <si>
    <t xml:space="preserve">Creatine gummies, 1 month (subscription)</t>
  </si>
  <si>
    <t xml:space="preserve">52% OFF sale; 2 months + 1 free; free shipping with subscription; 30-day money-back (one-time 40 €)</t>
  </si>
  <si>
    <t xml:space="preserve">Vegetology</t>
  </si>
  <si>
    <t xml:space="preserve">https://www.vegetology.com</t>
  </si>
  <si>
    <t xml:space="preserve">Vegan vitamins (tablets, bundles), UK brand</t>
  </si>
  <si>
    <t xml:space="preserve">No (tablets)</t>
  </si>
  <si>
    <t xml:space="preserve">Vegan Mind &amp; Memory bundle (60 days)</t>
  </si>
  <si>
    <t xml:space="preserve">Bundles; free shipping over £70</t>
  </si>
  <si>
    <t xml:space="preserve">UK store, prices in GBP.</t>
  </si>
  <si>
    <t xml:space="preserve">Igennus Healthcare Nutrition</t>
  </si>
  <si>
    <t xml:space="preserve">https://igennus.com</t>
  </si>
  <si>
    <t xml:space="preserve">Omega-3 &amp; B-vitamin supplements (UK)</t>
  </si>
  <si>
    <t xml:space="preserve">Free 15-min nutrition consult</t>
  </si>
  <si>
    <t xml:space="preserve">Whole World Botanicals</t>
  </si>
  <si>
    <t xml:space="preserve">https://wholeworldbotanicals.com</t>
  </si>
  <si>
    <t xml:space="preserve">Maca &amp; botanical supplements (US)</t>
  </si>
  <si>
    <t xml:space="preserve">15% off first order + free Maca guide</t>
  </si>
  <si>
    <t xml:space="preserve">US store prices in USD.</t>
  </si>
  <si>
    <t xml:space="preserve">Austria – stores selling gummies / supplements with Meta ads</t>
  </si>
  <si>
    <t xml:space="preserve">Vitamin gummy bears (hair, PMS, sleep, shape…)</t>
  </si>
  <si>
    <t xml:space="preserve">Promo sets up to −24%; free shipping in DE &amp; AT from 49 €</t>
  </si>
  <si>
    <t xml:space="preserve">Same page as Germany.</t>
  </si>
  <si>
    <t xml:space="preserve">TISSO Naturprodukte</t>
  </si>
  <si>
    <t xml:space="preserve">https://www.tisso.de</t>
  </si>
  <si>
    <t xml:space="preserve">Natural supplements (gut, vitamins), German practice brand</t>
  </si>
  <si>
    <t xml:space="preserve">Vitamin product (from)</t>
  </si>
  <si>
    <t xml:space="preserve">Product packages up to −20%; 5.50 € welcome discount</t>
  </si>
  <si>
    <t xml:space="preserve">Vitafant</t>
  </si>
  <si>
    <t xml:space="preserve">https://vitafant.com</t>
  </si>
  <si>
    <t xml:space="preserve">Greens powders &amp; supplements</t>
  </si>
  <si>
    <t xml:space="preserve">No (powders)</t>
  </si>
  <si>
    <t xml:space="preserve">Grüne Helfer powder (advertised)</t>
  </si>
  <si>
    <t xml:space="preserve">6-pack −15%; 10% newsletter code; free shipping from 50 €</t>
  </si>
  <si>
    <t xml:space="preserve">Pure Encapsulations AT&amp;DE</t>
  </si>
  <si>
    <t xml:space="preserve">https://www.purecaps.net</t>
  </si>
  <si>
    <t xml:space="preserve">Hypoallergenic premium supplements (capsules, drops)</t>
  </si>
  <si>
    <t xml:space="preserve">Vitamin C 1000 buffered, 30 caps (from)</t>
  </si>
  <si>
    <t xml:space="preserve">Discount conditions on site; free shipping to Austria over a threshold</t>
  </si>
  <si>
    <t xml:space="preserve">Bare Body Wellness</t>
  </si>
  <si>
    <t xml:space="preserve">https://www.bellunova.com/1001-mx-vir/adv</t>
  </si>
  <si>
    <t xml:space="preserve">Advertorial funnels for women's supplements (Virelle, Oravelle)</t>
  </si>
  <si>
    <t xml:space="preserve">Not a classic store: ads lead to advertorial pages on rotating domains.</t>
  </si>
  <si>
    <t xml:space="preserve">FormMed HealthCare</t>
  </si>
  <si>
    <t xml:space="preserve">https://formmed.de</t>
  </si>
  <si>
    <t xml:space="preserve">Premium micronutrients (German)</t>
  </si>
  <si>
    <t xml:space="preserve">Homocyst-in-form (advertised), 30 days</t>
  </si>
  <si>
    <t xml:space="preserve">10% off next order; free shipping from 50 €</t>
  </si>
  <si>
    <t xml:space="preserve">VitaePro Österreich</t>
  </si>
  <si>
    <t xml:space="preserve">https://www.vitaepro.at</t>
  </si>
  <si>
    <t xml:space="preserve">Joint &amp; muscle supplement (astaxanthin) via subscription</t>
  </si>
  <si>
    <t xml:space="preserve">First pack (trial)</t>
  </si>
  <si>
    <t xml:space="preserve">First pack for 9.95 € then subscription (cancel anytime)</t>
  </si>
  <si>
    <t xml:space="preserve">Forte Natura Gummies</t>
  </si>
  <si>
    <t xml:space="preserve">https://de.forte-natura.com</t>
  </si>
  <si>
    <t xml:space="preserve">Gummies: colostrum, joints, sleep (German-language DTC)</t>
  </si>
  <si>
    <t xml:space="preserve">Colostrum Forte gummies (monthly price)</t>
  </si>
  <si>
    <t xml:space="preserve">3- and 6-pack savings bundles; free premium DHL shipping; free Sleep gummies with joint bundle</t>
  </si>
  <si>
    <t xml:space="preserve">Supradyn Österreich</t>
  </si>
  <si>
    <t xml:space="preserve">https://www.supradyn.at</t>
  </si>
  <si>
    <t xml:space="preserve">Bayer multivitamins (tablets, gummies) – sold via pharmacies</t>
  </si>
  <si>
    <t xml:space="preserve">Some (Supradyn gummies)</t>
  </si>
  <si>
    <t xml:space="preserve">Brand site has no shop; sold in pharmacies/drugstores.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</si>
</sst>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000"/>
    <numFmt numFmtId="167" formatCode="#,##0"/>
    <numFmt numFmtId="168" formatCode="#,##0.00&quot; €&quot;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AT" displayName="T_AT" ref="A4:R13" headerRowCount="1" totalsRowCount="0" totalsRowShown="0">
  <autoFilter ref="A4:R13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2.xml><?xml version="1.0" encoding="utf-8"?>
<table xmlns="http://schemas.openxmlformats.org/spreadsheetml/2006/main" id="2" name="T_BE" displayName="T_BE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3.xml><?xml version="1.0" encoding="utf-8"?>
<table xmlns="http://schemas.openxmlformats.org/spreadsheetml/2006/main" id="3" name="T_CH" displayName="T_CH" ref="A4:R16" headerRowCount="1" totalsRowCount="0" totalsRowShown="0">
  <autoFilter ref="A4:R16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4.xml><?xml version="1.0" encoding="utf-8"?>
<table xmlns="http://schemas.openxmlformats.org/spreadsheetml/2006/main" id="4" name="T_DE" displayName="T_DE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5.xml><?xml version="1.0" encoding="utf-8"?>
<table xmlns="http://schemas.openxmlformats.org/spreadsheetml/2006/main" id="5" name="T_ES" displayName="T_ES" ref="A4:R13" headerRowCount="1" totalsRowCount="0" totalsRowShown="0">
  <autoFilter ref="A4:R13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6.xml><?xml version="1.0" encoding="utf-8"?>
<table xmlns="http://schemas.openxmlformats.org/spreadsheetml/2006/main" id="6" name="T_FR" displayName="T_FR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7.xml><?xml version="1.0" encoding="utf-8"?>
<table xmlns="http://schemas.openxmlformats.org/spreadsheetml/2006/main" id="7" name="T_IE" displayName="T_IE" ref="A4:R12" headerRowCount="1" totalsRowCount="0" totalsRowShown="0">
  <autoFilter ref="A4:R12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8.xml><?xml version="1.0" encoding="utf-8"?>
<table xmlns="http://schemas.openxmlformats.org/spreadsheetml/2006/main" id="8" name="T_IT" displayName="T_IT" ref="A4:R13" headerRowCount="1" totalsRowCount="0" totalsRowShown="0">
  <autoFilter ref="A4:R13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9.xml><?xml version="1.0" encoding="utf-8"?>
<table xmlns="http://schemas.openxmlformats.org/spreadsheetml/2006/main" id="9" name="T_NL" displayName="T_NL" ref="A4:R13" headerRowCount="1" totalsRowCount="0" totalsRowShown="0">
  <autoFilter ref="A4:R13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ables/table10.xml><?xml version="1.0" encoding="utf-8"?>
<table xmlns="http://schemas.openxmlformats.org/spreadsheetml/2006/main" id="10" name="T_PT" displayName="T_PT" ref="A4:R13" headerRowCount="1" totalsRowCount="0" totalsRowShown="0">
  <autoFilter ref="A4:R13"/>
  <tableColumns count="18">
    <tableColumn id="1" name="#"/>
    <tableColumn id="2" name="Store"/>
    <tableColumn id="3" name="Store link"/>
    <tableColumn id="4" name="Meta Ad Library link"/>
    <tableColumn id="5" name="What they sell"/>
    <tableColumn id="6" name="Sells gummies?"/>
    <tableColumn id="7" name="Entry product"/>
    <tableColumn id="8" name="Entry price (local)"/>
    <tableColumn id="9" name="Currency"/>
    <tableColumn id="10" name="Entry price (EUR)"/>
    <tableColumn id="11" name="Offer"/>
    <tableColumn id="12" name="Oldest ad in Ad Library (active or not)"/>
    <tableColumn id="13" name="Days since oldest ad"/>
    <tableColumn id="14" name="Ads in Ad Library (total)"/>
    <tableColumn id="15" name="Active ads now"/>
    <tableColumn id="16" name="Oldest live ad: start date"/>
    <tableColumn id="17" name="Days since oldest live ad"/>
    <tableColumn id="1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frenchmush.com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12440378566737" TargetMode="External"/><Relationship Id="rId3" Type="http://schemas.openxmlformats.org/officeDocument/2006/relationships/hyperlink" Target="https://www.miumlab.com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499744160441610" TargetMode="External"/><Relationship Id="rId5" Type="http://schemas.openxmlformats.org/officeDocument/2006/relationships/hyperlink" Target="https://harmova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592336850626517" TargetMode="External"/><Relationship Id="rId7" Type="http://schemas.openxmlformats.org/officeDocument/2006/relationships/hyperlink" Target="https://www.lashilebeauty.com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937210819913782" TargetMode="External"/><Relationship Id="rId9" Type="http://schemas.openxmlformats.org/officeDocument/2006/relationships/hyperlink" Target="https://luxeol.com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857734294354242" TargetMode="External"/><Relationship Id="rId11" Type="http://schemas.openxmlformats.org/officeDocument/2006/relationships/hyperlink" Target="https://www.valebio.com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690361374370337" TargetMode="External"/><Relationship Id="rId13" Type="http://schemas.openxmlformats.org/officeDocument/2006/relationships/hyperlink" Target="https://www.naturactive.fr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208825871868" TargetMode="External"/><Relationship Id="rId15" Type="http://schemas.openxmlformats.org/officeDocument/2006/relationships/hyperlink" Target="https://dose-labo.com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475967945591877" TargetMode="External"/><Relationship Id="rId17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ahead-nutrition.com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686434038319121" TargetMode="External"/><Relationship Id="rId3" Type="http://schemas.openxmlformats.org/officeDocument/2006/relationships/hyperlink" Target="https://www.esn.com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363763177038997" TargetMode="External"/><Relationship Id="rId5" Type="http://schemas.openxmlformats.org/officeDocument/2006/relationships/hyperlink" Target="https://www.bears-with-benefits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2016561148378007" TargetMode="External"/><Relationship Id="rId7" Type="http://schemas.openxmlformats.org/officeDocument/2006/relationships/hyperlink" Target="https://hormonella.co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00110895166000" TargetMode="External"/><Relationship Id="rId9" Type="http://schemas.openxmlformats.org/officeDocument/2006/relationships/hyperlink" Target="https://femipore.de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498267473366640" TargetMode="External"/><Relationship Id="rId11" Type="http://schemas.openxmlformats.org/officeDocument/2006/relationships/hyperlink" Target="https://www.wowtamins.de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00237438092984" TargetMode="External"/><Relationship Id="rId13" Type="http://schemas.openxmlformats.org/officeDocument/2006/relationships/hyperlink" Target="https://hpn-store.de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15530136656462" TargetMode="External"/><Relationship Id="rId15" Type="http://schemas.openxmlformats.org/officeDocument/2006/relationships/hyperlink" Target="https://bettertaste.shop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398093543668538" TargetMode="External"/><Relationship Id="rId17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sensilab.it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561074557300658" TargetMode="External"/><Relationship Id="rId3" Type="http://schemas.openxmlformats.org/officeDocument/2006/relationships/hyperlink" Target="https://www.n2naturalnutrition.it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1504310806341705" TargetMode="External"/><Relationship Id="rId5" Type="http://schemas.openxmlformats.org/officeDocument/2006/relationships/hyperlink" Target="https://avanellelab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895465630318948" TargetMode="External"/><Relationship Id="rId7" Type="http://schemas.openxmlformats.org/officeDocument/2006/relationships/hyperlink" Target="https://www.frenchmush.com/it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284952861348586" TargetMode="External"/><Relationship Id="rId9" Type="http://schemas.openxmlformats.org/officeDocument/2006/relationships/hyperlink" Target="https://www.bears-with-benefits.it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106385004798975" TargetMode="External"/><Relationship Id="rId11" Type="http://schemas.openxmlformats.org/officeDocument/2006/relationships/hyperlink" Target="https://www.vitastrong.it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02958694507675" TargetMode="External"/><Relationship Id="rId13" Type="http://schemas.openxmlformats.org/officeDocument/2006/relationships/hyperlink" Target="https://nutri-sonno.com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236326979566843" TargetMode="External"/><Relationship Id="rId15" Type="http://schemas.openxmlformats.org/officeDocument/2006/relationships/hyperlink" Target="https://www.zymerex.it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08056757328590" TargetMode="External"/><Relationship Id="rId17" Type="http://schemas.openxmlformats.org/officeDocument/2006/relationships/hyperlink" Target="https://www.prinfit.com/" TargetMode="External"/><Relationship Id="rId18" Type="http://schemas.openxmlformats.org/officeDocument/2006/relationships/hyperlink" Target="https://www.facebook.com/ads/library/?active_status=all&amp;ad_type=all&amp;country=ALL&amp;is_targeted_country=false&amp;media_type=all&amp;search_type=page&amp;view_all_page_id=522303434603429" TargetMode="External"/><Relationship Id="rId19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kruidvat.be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414230891947291" TargetMode="External"/><Relationship Id="rId3" Type="http://schemas.openxmlformats.org/officeDocument/2006/relationships/hyperlink" Target="https://harmova.com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592336850626517" TargetMode="External"/><Relationship Id="rId5" Type="http://schemas.openxmlformats.org/officeDocument/2006/relationships/hyperlink" Target="https://www.lashilebeauty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1937210819913782" TargetMode="External"/><Relationship Id="rId7" Type="http://schemas.openxmlformats.org/officeDocument/2006/relationships/hyperlink" Target="https://www.farmaline.be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35738753113780" TargetMode="External"/><Relationship Id="rId9" Type="http://schemas.openxmlformats.org/officeDocument/2006/relationships/hyperlink" Target="https://alphavit-officiel.com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995660226961995" TargetMode="External"/><Relationship Id="rId11" Type="http://schemas.openxmlformats.org/officeDocument/2006/relationships/hyperlink" Target="https://www.bears-with-benefits.nl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04184782658005" TargetMode="External"/><Relationship Id="rId13" Type="http://schemas.openxmlformats.org/officeDocument/2006/relationships/hyperlink" Target="https://www.santurel.net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163299310209874" TargetMode="External"/><Relationship Id="rId15" Type="http://schemas.openxmlformats.org/officeDocument/2006/relationships/hyperlink" Target="https://www.decola.be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451139704900640" TargetMode="External"/><Relationship Id="rId17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weightworld.nl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37475418263" TargetMode="External"/><Relationship Id="rId3" Type="http://schemas.openxmlformats.org/officeDocument/2006/relationships/hyperlink" Target="https://www.ahead-nutrition.com/nl-nl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597677983431951" TargetMode="External"/><Relationship Id="rId5" Type="http://schemas.openxmlformats.org/officeDocument/2006/relationships/hyperlink" Target="https://hairlust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333149603692242" TargetMode="External"/><Relationship Id="rId7" Type="http://schemas.openxmlformats.org/officeDocument/2006/relationships/hyperlink" Target="https://dailipharma.com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70097266179349" TargetMode="External"/><Relationship Id="rId9" Type="http://schemas.openxmlformats.org/officeDocument/2006/relationships/hyperlink" Target="https://vitaminfit.com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1577633222460145" TargetMode="External"/><Relationship Id="rId11" Type="http://schemas.openxmlformats.org/officeDocument/2006/relationships/hyperlink" Target="https://strnordic.nl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00504511764722" TargetMode="External"/><Relationship Id="rId13" Type="http://schemas.openxmlformats.org/officeDocument/2006/relationships/hyperlink" Target="https://www.bears-with-benefits.nl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04184782658005" TargetMode="External"/><Relationship Id="rId15" Type="http://schemas.openxmlformats.org/officeDocument/2006/relationships/hyperlink" Target="https://www.puurmieke.nl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468934269830334" TargetMode="External"/><Relationship Id="rId17" Type="http://schemas.openxmlformats.org/officeDocument/2006/relationships/hyperlink" Target="https://www.futunatura.nl/" TargetMode="External"/><Relationship Id="rId18" Type="http://schemas.openxmlformats.org/officeDocument/2006/relationships/hyperlink" Target="https://www.facebook.com/ads/library/?active_status=all&amp;ad_type=all&amp;country=ALL&amp;is_targeted_country=false&amp;media_type=all&amp;search_type=page&amp;view_all_page_id=727923890405564" TargetMode="External"/><Relationship Id="rId19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aldousbio.com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334203827036575" TargetMode="External"/><Relationship Id="rId3" Type="http://schemas.openxmlformats.org/officeDocument/2006/relationships/hyperlink" Target="https://v-gummies.com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1019879424537891" TargetMode="External"/><Relationship Id="rId5" Type="http://schemas.openxmlformats.org/officeDocument/2006/relationships/hyperlink" Target="https://www.vitobest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145299828849198" TargetMode="External"/><Relationship Id="rId7" Type="http://schemas.openxmlformats.org/officeDocument/2006/relationships/hyperlink" Target="https://www.bears-with-benefits.es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01737772834936" TargetMode="External"/><Relationship Id="rId9" Type="http://schemas.openxmlformats.org/officeDocument/2006/relationships/hyperlink" Target="https://primalpump.es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461964173674716" TargetMode="External"/><Relationship Id="rId11" Type="http://schemas.openxmlformats.org/officeDocument/2006/relationships/hyperlink" Target="https://www.mahen.es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237270189736336" TargetMode="External"/><Relationship Id="rId13" Type="http://schemas.openxmlformats.org/officeDocument/2006/relationships/hyperlink" Target="https://sonvital.com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171707342683134" TargetMode="External"/><Relationship Id="rId15" Type="http://schemas.openxmlformats.org/officeDocument/2006/relationships/hyperlink" Target="https://www.femive.com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667593039768513" TargetMode="External"/><Relationship Id="rId17" Type="http://schemas.openxmlformats.org/officeDocument/2006/relationships/hyperlink" Target="https://aramanatural.es/" TargetMode="External"/><Relationship Id="rId18" Type="http://schemas.openxmlformats.org/officeDocument/2006/relationships/hyperlink" Target="https://www.facebook.com/ads/library/?active_status=all&amp;ad_type=all&amp;country=ALL&amp;is_targeted_country=false&amp;media_type=all&amp;search_type=page&amp;view_all_page_id=105543920797405" TargetMode="External"/><Relationship Id="rId19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sensilab.pt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2121253218174636" TargetMode="External"/><Relationship Id="rId3" Type="http://schemas.openxmlformats.org/officeDocument/2006/relationships/hyperlink" Target="https://www.weightworld.com.pt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830018033534016" TargetMode="External"/><Relationship Id="rId5" Type="http://schemas.openxmlformats.org/officeDocument/2006/relationships/hyperlink" Target="https://aldousbio.pt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921090694425885" TargetMode="External"/><Relationship Id="rId7" Type="http://schemas.openxmlformats.org/officeDocument/2006/relationships/hyperlink" Target="https://maxnesio.pt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15950373119865" TargetMode="External"/><Relationship Id="rId9" Type="http://schemas.openxmlformats.org/officeDocument/2006/relationships/hyperlink" Target="https://confidence-mulher.pt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716824658191711" TargetMode="External"/><Relationship Id="rId11" Type="http://schemas.openxmlformats.org/officeDocument/2006/relationships/hyperlink" Target="https://nutribio.pt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376576352532500" TargetMode="External"/><Relationship Id="rId13" Type="http://schemas.openxmlformats.org/officeDocument/2006/relationships/hyperlink" Target="https://eusougira.com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563673846832085" TargetMode="External"/><Relationship Id="rId15" Type="http://schemas.openxmlformats.org/officeDocument/2006/relationships/hyperlink" Target="https://vivamelhor.pt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398614120350781" TargetMode="External"/><Relationship Id="rId17" Type="http://schemas.openxmlformats.org/officeDocument/2006/relationships/hyperlink" Target="https://natureheals.pt/" TargetMode="External"/><Relationship Id="rId18" Type="http://schemas.openxmlformats.org/officeDocument/2006/relationships/hyperlink" Target="https://www.facebook.com/ads/library/?active_status=all&amp;ad_type=all&amp;country=ALL&amp;is_targeted_country=false&amp;media_type=all&amp;search_type=page&amp;view_all_page_id=102148235305086" TargetMode="External"/><Relationship Id="rId19" Type="http://schemas.openxmlformats.org/officeDocument/2006/relationships/table" Target="../tables/table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lynae.co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882745201589363" TargetMode="External"/><Relationship Id="rId3" Type="http://schemas.openxmlformats.org/officeDocument/2006/relationships/hyperlink" Target="https://harmova.com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592336850626517" TargetMode="External"/><Relationship Id="rId5" Type="http://schemas.openxmlformats.org/officeDocument/2006/relationships/hyperlink" Target="https://luxeol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857734294354242" TargetMode="External"/><Relationship Id="rId7" Type="http://schemas.openxmlformats.org/officeDocument/2006/relationships/hyperlink" Target="https://purazell.de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917532321834768" TargetMode="External"/><Relationship Id="rId9" Type="http://schemas.openxmlformats.org/officeDocument/2006/relationships/hyperlink" Target="https://herbano.com/ch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636853523108639" TargetMode="External"/><Relationship Id="rId11" Type="http://schemas.openxmlformats.org/officeDocument/2006/relationships/hyperlink" Target="https://www.feelgood-shop.com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245754548844022" TargetMode="External"/><Relationship Id="rId13" Type="http://schemas.openxmlformats.org/officeDocument/2006/relationships/hyperlink" Target="https://kanela.ch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2083660611670712" TargetMode="External"/><Relationship Id="rId15" Type="http://schemas.openxmlformats.org/officeDocument/2006/relationships/hyperlink" Target="https://www.nurnatur.ch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68069439876667" TargetMode="External"/><Relationship Id="rId17" Type="http://schemas.openxmlformats.org/officeDocument/2006/relationships/hyperlink" Target="https://www.magnesium-biomed.ch/" TargetMode="External"/><Relationship Id="rId18" Type="http://schemas.openxmlformats.org/officeDocument/2006/relationships/hyperlink" Target="https://www.facebook.com/ads/library/?active_status=all&amp;ad_type=all&amp;country=ALL&amp;is_targeted_country=false&amp;media_type=all&amp;search_type=page&amp;view_all_page_id=120152454379657" TargetMode="External"/><Relationship Id="rId19" Type="http://schemas.openxmlformats.org/officeDocument/2006/relationships/hyperlink" Target="https://bodysport.ch/" TargetMode="External"/><Relationship Id="rId20" Type="http://schemas.openxmlformats.org/officeDocument/2006/relationships/hyperlink" Target="https://www.facebook.com/ads/library/?active_status=all&amp;ad_type=all&amp;country=ALL&amp;is_targeted_country=false&amp;media_type=all&amp;search_type=page&amp;view_all_page_id=136934599676057" TargetMode="External"/><Relationship Id="rId21" Type="http://schemas.openxmlformats.org/officeDocument/2006/relationships/hyperlink" Target="https://www.plantavis.ch/" TargetMode="External"/><Relationship Id="rId22" Type="http://schemas.openxmlformats.org/officeDocument/2006/relationships/hyperlink" Target="https://www.facebook.com/ads/library/?active_status=all&amp;ad_type=all&amp;country=ALL&amp;is_targeted_country=false&amp;media_type=all&amp;search_type=page&amp;view_all_page_id=2278606142255725" TargetMode="External"/><Relationship Id="rId23" Type="http://schemas.openxmlformats.org/officeDocument/2006/relationships/hyperlink" Target="https://helvilab.com/" TargetMode="External"/><Relationship Id="rId24" Type="http://schemas.openxmlformats.org/officeDocument/2006/relationships/hyperlink" Target="https://www.facebook.com/ads/library/?active_status=all&amp;ad_type=all&amp;country=ALL&amp;is_targeted_country=false&amp;media_type=all&amp;search_type=page&amp;view_all_page_id=178502575357222" TargetMode="External"/><Relationship Id="rId25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novomins.com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1774511642631588" TargetMode="External"/><Relationship Id="rId3" Type="http://schemas.openxmlformats.org/officeDocument/2006/relationships/hyperlink" Target="https://www.beleaze.com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756337437563075" TargetMode="External"/><Relationship Id="rId5" Type="http://schemas.openxmlformats.org/officeDocument/2006/relationships/hyperlink" Target="https://ultimapeak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1216048368266202" TargetMode="External"/><Relationship Id="rId7" Type="http://schemas.openxmlformats.org/officeDocument/2006/relationships/hyperlink" Target="https://www.hollandandbarrett.ie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464429983924651" TargetMode="External"/><Relationship Id="rId9" Type="http://schemas.openxmlformats.org/officeDocument/2006/relationships/hyperlink" Target="https://maclir.co/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541510712379170" TargetMode="External"/><Relationship Id="rId11" Type="http://schemas.openxmlformats.org/officeDocument/2006/relationships/hyperlink" Target="https://www.vegetology.com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108496052500489" TargetMode="External"/><Relationship Id="rId13" Type="http://schemas.openxmlformats.org/officeDocument/2006/relationships/hyperlink" Target="https://igennus.com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121952141190" TargetMode="External"/><Relationship Id="rId15" Type="http://schemas.openxmlformats.org/officeDocument/2006/relationships/hyperlink" Target="https://wholeworldbotanicals.com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75176399211516" TargetMode="External"/><Relationship Id="rId17" Type="http://schemas.openxmlformats.org/officeDocument/2006/relationships/table" Target="../tables/table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bears-with-benefits.com/" TargetMode="External"/><Relationship Id="rId2" Type="http://schemas.openxmlformats.org/officeDocument/2006/relationships/hyperlink" Target="https://www.facebook.com/ads/library/?active_status=all&amp;ad_type=all&amp;country=ALL&amp;is_targeted_country=false&amp;media_type=all&amp;search_type=page&amp;view_all_page_id=2016561148378007" TargetMode="External"/><Relationship Id="rId3" Type="http://schemas.openxmlformats.org/officeDocument/2006/relationships/hyperlink" Target="https://www.tisso.de/" TargetMode="External"/><Relationship Id="rId4" Type="http://schemas.openxmlformats.org/officeDocument/2006/relationships/hyperlink" Target="https://www.facebook.com/ads/library/?active_status=all&amp;ad_type=all&amp;country=ALL&amp;is_targeted_country=false&amp;media_type=all&amp;search_type=page&amp;view_all_page_id=164294293618381" TargetMode="External"/><Relationship Id="rId5" Type="http://schemas.openxmlformats.org/officeDocument/2006/relationships/hyperlink" Target="https://vitafant.com/" TargetMode="External"/><Relationship Id="rId6" Type="http://schemas.openxmlformats.org/officeDocument/2006/relationships/hyperlink" Target="https://www.facebook.com/ads/library/?active_status=all&amp;ad_type=all&amp;country=ALL&amp;is_targeted_country=false&amp;media_type=all&amp;search_type=page&amp;view_all_page_id=118726707995304" TargetMode="External"/><Relationship Id="rId7" Type="http://schemas.openxmlformats.org/officeDocument/2006/relationships/hyperlink" Target="https://www.purecaps.net/" TargetMode="External"/><Relationship Id="rId8" Type="http://schemas.openxmlformats.org/officeDocument/2006/relationships/hyperlink" Target="https://www.facebook.com/ads/library/?active_status=all&amp;ad_type=all&amp;country=ALL&amp;is_targeted_country=false&amp;media_type=all&amp;search_type=page&amp;view_all_page_id=1448935778724010" TargetMode="External"/><Relationship Id="rId9" Type="http://schemas.openxmlformats.org/officeDocument/2006/relationships/hyperlink" Target="https://www.bellunova.com/1001-mx-vir/adv" TargetMode="External"/><Relationship Id="rId10" Type="http://schemas.openxmlformats.org/officeDocument/2006/relationships/hyperlink" Target="https://www.facebook.com/ads/library/?active_status=all&amp;ad_type=all&amp;country=ALL&amp;is_targeted_country=false&amp;media_type=all&amp;search_type=page&amp;view_all_page_id=116500061377179" TargetMode="External"/><Relationship Id="rId11" Type="http://schemas.openxmlformats.org/officeDocument/2006/relationships/hyperlink" Target="https://formmed.de/" TargetMode="External"/><Relationship Id="rId12" Type="http://schemas.openxmlformats.org/officeDocument/2006/relationships/hyperlink" Target="https://www.facebook.com/ads/library/?active_status=all&amp;ad_type=all&amp;country=ALL&amp;is_targeted_country=false&amp;media_type=all&amp;search_type=page&amp;view_all_page_id=138690802925417" TargetMode="External"/><Relationship Id="rId13" Type="http://schemas.openxmlformats.org/officeDocument/2006/relationships/hyperlink" Target="https://www.vitaepro.at/" TargetMode="External"/><Relationship Id="rId14" Type="http://schemas.openxmlformats.org/officeDocument/2006/relationships/hyperlink" Target="https://www.facebook.com/ads/library/?active_status=all&amp;ad_type=all&amp;country=ALL&amp;is_targeted_country=false&amp;media_type=all&amp;search_type=page&amp;view_all_page_id=273592435835169" TargetMode="External"/><Relationship Id="rId15" Type="http://schemas.openxmlformats.org/officeDocument/2006/relationships/hyperlink" Target="https://de.forte-natura.com/" TargetMode="External"/><Relationship Id="rId16" Type="http://schemas.openxmlformats.org/officeDocument/2006/relationships/hyperlink" Target="https://www.facebook.com/ads/library/?active_status=all&amp;ad_type=all&amp;country=ALL&amp;is_targeted_country=false&amp;media_type=all&amp;search_type=page&amp;view_all_page_id=1028681463666489" TargetMode="External"/><Relationship Id="rId17" Type="http://schemas.openxmlformats.org/officeDocument/2006/relationships/hyperlink" Target="https://www.supradyn.at/" TargetMode="External"/><Relationship Id="rId18" Type="http://schemas.openxmlformats.org/officeDocument/2006/relationships/hyperlink" Target="https://www.facebook.com/ads/library/?active_status=all&amp;ad_type=all&amp;country=ALL&amp;is_targeted_country=false&amp;media_type=all&amp;search_type=page&amp;view_all_page_id=101828908263642" TargetMode="External"/><Relationship Id="rId19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  <c r="B3" s="4" t="n">
        <v>46300</v>
      </c>
    </row>
    <row r="4" customFormat="false" ht="15" hidden="false" customHeight="false" outlineLevel="0" collapsed="false">
      <c r="A4" s="2" t="s">
        <v>2</v>
      </c>
      <c r="B4" s="5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6" t="s">
        <v>4</v>
      </c>
    </row>
    <row r="7" customFormat="false" ht="15" hidden="false" customHeight="false" outlineLevel="0" collapsed="false">
      <c r="A7" s="2" t="s">
        <v>5</v>
      </c>
      <c r="B7" s="5" t="s">
        <v>6</v>
      </c>
    </row>
    <row r="8" customFormat="false" ht="15" hidden="false" customHeight="false" outlineLevel="0" collapsed="false">
      <c r="A8" s="2" t="s">
        <v>7</v>
      </c>
      <c r="B8" s="5" t="s">
        <v>8</v>
      </c>
    </row>
    <row r="9" customFormat="false" ht="15" hidden="false" customHeight="false" outlineLevel="0" collapsed="false">
      <c r="A9" s="2" t="s">
        <v>9</v>
      </c>
      <c r="B9" s="5" t="s">
        <v>10</v>
      </c>
    </row>
    <row r="10" customFormat="false" ht="15" hidden="false" customHeight="false" outlineLevel="0" collapsed="false">
      <c r="A10" s="2" t="s">
        <v>11</v>
      </c>
      <c r="B10" s="5" t="s">
        <v>12</v>
      </c>
    </row>
    <row r="11" customFormat="false" ht="15" hidden="false" customHeight="false" outlineLevel="0" collapsed="false">
      <c r="A11" s="2" t="s">
        <v>13</v>
      </c>
      <c r="B11" s="5" t="s">
        <v>14</v>
      </c>
    </row>
    <row r="12" customFormat="false" ht="15" hidden="false" customHeight="false" outlineLevel="0" collapsed="false">
      <c r="A12" s="2" t="s">
        <v>15</v>
      </c>
      <c r="B12" s="5" t="s">
        <v>16</v>
      </c>
    </row>
    <row r="13" customFormat="false" ht="15" hidden="false" customHeight="false" outlineLevel="0" collapsed="false">
      <c r="A13" s="2" t="s">
        <v>17</v>
      </c>
      <c r="B13" s="5" t="s">
        <v>18</v>
      </c>
    </row>
    <row r="14" customFormat="false" ht="15" hidden="false" customHeight="false" outlineLevel="0" collapsed="false">
      <c r="A14" s="2" t="s">
        <v>19</v>
      </c>
      <c r="B14" s="5" t="s">
        <v>20</v>
      </c>
    </row>
    <row r="15" customFormat="false" ht="15" hidden="false" customHeight="false" outlineLevel="0" collapsed="false">
      <c r="A15" s="2" t="s">
        <v>21</v>
      </c>
      <c r="B15" s="5" t="s">
        <v>22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6" t="s">
        <v>23</v>
      </c>
    </row>
    <row r="18" customFormat="false" ht="23.85" hidden="false" customHeight="false" outlineLevel="0" collapsed="false">
      <c r="A18" s="2" t="s">
        <v>24</v>
      </c>
      <c r="B18" s="5" t="s">
        <v>25</v>
      </c>
    </row>
    <row r="19" customFormat="false" ht="23.85" hidden="false" customHeight="false" outlineLevel="0" collapsed="false">
      <c r="A19" s="2" t="s">
        <v>26</v>
      </c>
      <c r="B19" s="5" t="s">
        <v>27</v>
      </c>
    </row>
    <row r="20" customFormat="false" ht="23.85" hidden="false" customHeight="false" outlineLevel="0" collapsed="false">
      <c r="A20" s="2" t="s">
        <v>28</v>
      </c>
      <c r="B20" s="5" t="s">
        <v>29</v>
      </c>
    </row>
    <row r="21" customFormat="false" ht="15" hidden="false" customHeight="false" outlineLevel="0" collapsed="false">
      <c r="A21" s="2" t="s">
        <v>30</v>
      </c>
      <c r="B21" s="5" t="s">
        <v>31</v>
      </c>
    </row>
    <row r="22" customFormat="false" ht="23.85" hidden="false" customHeight="false" outlineLevel="0" collapsed="false">
      <c r="A22" s="2" t="s">
        <v>32</v>
      </c>
      <c r="B22" s="5" t="s">
        <v>33</v>
      </c>
    </row>
    <row r="23" customFormat="false" ht="15" hidden="false" customHeight="false" outlineLevel="0" collapsed="false">
      <c r="A23" s="2" t="s">
        <v>34</v>
      </c>
      <c r="B23" s="5" t="s">
        <v>35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6" t="s">
        <v>36</v>
      </c>
    </row>
    <row r="26" customFormat="false" ht="15" hidden="false" customHeight="false" outlineLevel="0" collapsed="false">
      <c r="A26" s="2" t="s">
        <v>37</v>
      </c>
      <c r="B26" s="5" t="s">
        <v>38</v>
      </c>
    </row>
    <row r="27" customFormat="false" ht="15" hidden="false" customHeight="false" outlineLevel="0" collapsed="false">
      <c r="A27" s="2" t="s">
        <v>39</v>
      </c>
      <c r="B27" s="5" t="s">
        <v>40</v>
      </c>
    </row>
    <row r="28" customFormat="false" ht="15" hidden="false" customHeight="false" outlineLevel="0" collapsed="false">
      <c r="A28" s="2" t="s">
        <v>41</v>
      </c>
      <c r="B28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7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8" t="s">
        <v>45</v>
      </c>
      <c r="B4" s="8" t="s">
        <v>46</v>
      </c>
    </row>
    <row r="5" customFormat="false" ht="15" hidden="false" customHeight="false" outlineLevel="0" collapsed="false">
      <c r="A5" s="2" t="s">
        <v>47</v>
      </c>
      <c r="B5" s="9" t="n">
        <v>1</v>
      </c>
    </row>
    <row r="6" customFormat="false" ht="15" hidden="false" customHeight="false" outlineLevel="0" collapsed="false">
      <c r="A6" s="2" t="s">
        <v>48</v>
      </c>
      <c r="B6" s="9" t="n">
        <v>1.07</v>
      </c>
    </row>
    <row r="7" customFormat="false" ht="15" hidden="false" customHeight="false" outlineLevel="0" collapsed="false">
      <c r="A7" s="2" t="s">
        <v>49</v>
      </c>
      <c r="B7" s="9" t="n">
        <v>1.17</v>
      </c>
    </row>
    <row r="8" customFormat="false" ht="15" hidden="false" customHeight="false" outlineLevel="0" collapsed="false">
      <c r="A8" s="2" t="s">
        <v>50</v>
      </c>
      <c r="B8" s="9" t="n">
        <v>0.92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6" min="4" style="0" width="14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0" t="s">
        <v>51</v>
      </c>
    </row>
    <row r="3" customFormat="false" ht="31.5" hidden="false" customHeight="true" outlineLevel="0" collapsed="false">
      <c r="A3" s="11" t="s">
        <v>52</v>
      </c>
      <c r="B3" s="11" t="s">
        <v>53</v>
      </c>
      <c r="C3" s="11" t="s">
        <v>54</v>
      </c>
      <c r="D3" s="11" t="s">
        <v>55</v>
      </c>
      <c r="E3" s="11" t="s">
        <v>56</v>
      </c>
      <c r="F3" s="11" t="s">
        <v>57</v>
      </c>
      <c r="G3" s="11" t="s">
        <v>58</v>
      </c>
      <c r="H3" s="11" t="s">
        <v>59</v>
      </c>
    </row>
    <row r="4" customFormat="false" ht="15" hidden="false" customHeight="false" outlineLevel="0" collapsed="false">
      <c r="A4" s="12" t="s">
        <v>60</v>
      </c>
      <c r="B4" s="12" t="n">
        <f aca="false">COUNTA(France!$B$5:$B$12)</f>
        <v>8</v>
      </c>
      <c r="C4" s="12" t="n">
        <f aca="false">COUNTIF(France!$F$5:$F$12,"Yes*")</f>
        <v>4</v>
      </c>
      <c r="D4" s="13" t="n">
        <f aca="false">SUM(France!$N$5:$N$12)</f>
        <v>15657</v>
      </c>
      <c r="E4" s="13" t="n">
        <f aca="false">SUM(France!$O$5:$O$12)</f>
        <v>2445</v>
      </c>
      <c r="F4" s="14" t="n">
        <f aca="false">IFERROR(MEDIAN(France!$J$5:$J$12),"")</f>
        <v>32.45</v>
      </c>
      <c r="G4" s="12" t="str">
        <f aca="false">INDEX(France!$B$5:$B$12,MATCH(MAX(France!$N$5:$N$12),France!$N$5:$N$12,0))</f>
        <v>French Mush</v>
      </c>
      <c r="H4" s="15" t="n">
        <f aca="false">IF(COUNT(France!$L$5:$L$12)=0,"",MIN(France!$L$5:$L$12))</f>
        <v>44628</v>
      </c>
    </row>
    <row r="5" customFormat="false" ht="15" hidden="false" customHeight="false" outlineLevel="0" collapsed="false">
      <c r="A5" s="12" t="s">
        <v>61</v>
      </c>
      <c r="B5" s="12" t="n">
        <f aca="false">COUNTA(Germany!$B$5:$B$12)</f>
        <v>8</v>
      </c>
      <c r="C5" s="12" t="n">
        <f aca="false">COUNTIF(Germany!$F$5:$F$12,"Yes*")</f>
        <v>5</v>
      </c>
      <c r="D5" s="13" t="n">
        <f aca="false">SUM(Germany!$N$5:$N$12)</f>
        <v>28086</v>
      </c>
      <c r="E5" s="13" t="n">
        <f aca="false">SUM(Germany!$O$5:$O$12)</f>
        <v>4450</v>
      </c>
      <c r="F5" s="14" t="n">
        <f aca="false">IFERROR(MEDIAN(Germany!$J$5:$J$12),"")</f>
        <v>23.9</v>
      </c>
      <c r="G5" s="12" t="str">
        <f aca="false">INDEX(Germany!$B$5:$B$12,MATCH(MAX(Germany!$N$5:$N$12),Germany!$N$5:$N$12,0))</f>
        <v>ahead</v>
      </c>
      <c r="H5" s="15" t="n">
        <f aca="false">IF(COUNT(Germany!$L$5:$L$12)=0,"",MIN(Germany!$L$5:$L$12))</f>
        <v>44166</v>
      </c>
    </row>
    <row r="6" customFormat="false" ht="15" hidden="false" customHeight="false" outlineLevel="0" collapsed="false">
      <c r="A6" s="12" t="s">
        <v>62</v>
      </c>
      <c r="B6" s="12" t="n">
        <f aca="false">COUNTA(Italy!$B$5:$B$13)</f>
        <v>9</v>
      </c>
      <c r="C6" s="12" t="n">
        <f aca="false">COUNTIF(Italy!$F$5:$F$13,"Yes*")</f>
        <v>3</v>
      </c>
      <c r="D6" s="13" t="n">
        <f aca="false">SUM(Italy!$N$5:$N$13)</f>
        <v>9274</v>
      </c>
      <c r="E6" s="13" t="n">
        <f aca="false">SUM(Italy!$O$5:$O$13)</f>
        <v>1027</v>
      </c>
      <c r="F6" s="14" t="n">
        <f aca="false">IFERROR(MEDIAN(Italy!$J$5:$J$13),"")</f>
        <v>19.99</v>
      </c>
      <c r="G6" s="12" t="str">
        <f aca="false">INDEX(Italy!$B$5:$B$13,MATCH(MAX(Italy!$N$5:$N$13),Italy!$N$5:$N$13,0))</f>
        <v>Sensilab.it</v>
      </c>
      <c r="H6" s="15" t="n">
        <f aca="false">IF(COUNT(Italy!$L$5:$L$13)=0,"",MIN(Italy!$L$5:$L$13))</f>
        <v>45432</v>
      </c>
    </row>
    <row r="7" customFormat="false" ht="15" hidden="false" customHeight="false" outlineLevel="0" collapsed="false">
      <c r="A7" s="12" t="s">
        <v>63</v>
      </c>
      <c r="B7" s="12" t="n">
        <f aca="false">COUNTA(Belgium!$B$5:$B$12)</f>
        <v>8</v>
      </c>
      <c r="C7" s="12" t="n">
        <f aca="false">COUNTIF(Belgium!$F$5:$F$12,"Yes*")</f>
        <v>6</v>
      </c>
      <c r="D7" s="13" t="n">
        <f aca="false">SUM(Belgium!$N$5:$N$12)</f>
        <v>10443</v>
      </c>
      <c r="E7" s="13" t="n">
        <f aca="false">SUM(Belgium!$O$5:$O$12)</f>
        <v>1305</v>
      </c>
      <c r="F7" s="14" t="n">
        <f aca="false">IFERROR(MEDIAN(Belgium!$J$5:$J$12),"")</f>
        <v>34.7</v>
      </c>
      <c r="G7" s="12" t="str">
        <f aca="false">INDEX(Belgium!$B$5:$B$12,MATCH(MAX(Belgium!$N$5:$N$12),Belgium!$N$5:$N$12,0))</f>
        <v>Kruidvat België/Belgique</v>
      </c>
      <c r="H7" s="15" t="n">
        <f aca="false">IF(COUNT(Belgium!$L$5:$L$12)=0,"",MIN(Belgium!$L$5:$L$12))</f>
        <v>45036</v>
      </c>
    </row>
    <row r="8" customFormat="false" ht="15" hidden="false" customHeight="false" outlineLevel="0" collapsed="false">
      <c r="A8" s="12" t="s">
        <v>64</v>
      </c>
      <c r="B8" s="12" t="n">
        <f aca="false">COUNTA(Netherlands!$B$5:$B$13)</f>
        <v>9</v>
      </c>
      <c r="C8" s="12" t="n">
        <f aca="false">COUNTIF(Netherlands!$F$5:$F$13,"Yes*")</f>
        <v>5</v>
      </c>
      <c r="D8" s="13" t="n">
        <f aca="false">SUM(Netherlands!$N$5:$N$13)</f>
        <v>13367</v>
      </c>
      <c r="E8" s="13" t="n">
        <f aca="false">SUM(Netherlands!$O$5:$O$13)</f>
        <v>2170</v>
      </c>
      <c r="F8" s="14" t="n">
        <f aca="false">IFERROR(MEDIAN(Netherlands!$J$5:$J$13),"")</f>
        <v>24.95</v>
      </c>
      <c r="G8" s="12" t="str">
        <f aca="false">INDEX(Netherlands!$B$5:$B$13,MATCH(MAX(Netherlands!$N$5:$N$13),Netherlands!$N$5:$N$13,0))</f>
        <v>WeightWorld</v>
      </c>
      <c r="H8" s="15" t="n">
        <f aca="false">IF(COUNT(Netherlands!$L$5:$L$13)=0,"",MIN(Netherlands!$L$5:$L$13))</f>
        <v>45293</v>
      </c>
    </row>
    <row r="9" customFormat="false" ht="15" hidden="false" customHeight="false" outlineLevel="0" collapsed="false">
      <c r="A9" s="12" t="s">
        <v>65</v>
      </c>
      <c r="B9" s="12" t="n">
        <f aca="false">COUNTA(Spain!$B$5:$B$13)</f>
        <v>9</v>
      </c>
      <c r="C9" s="12" t="n">
        <f aca="false">COUNTIF(Spain!$F$5:$F$13,"Yes*")</f>
        <v>5</v>
      </c>
      <c r="D9" s="13" t="n">
        <f aca="false">SUM(Spain!$N$5:$N$13)</f>
        <v>8489</v>
      </c>
      <c r="E9" s="13" t="n">
        <f aca="false">SUM(Spain!$O$5:$O$13)</f>
        <v>1551</v>
      </c>
      <c r="F9" s="14" t="n">
        <f aca="false">IFERROR(MEDIAN(Spain!$J$5:$J$13),"")</f>
        <v>29.9</v>
      </c>
      <c r="G9" s="12" t="str">
        <f aca="false">INDEX(Spain!$B$5:$B$13,MATCH(MAX(Spain!$N$5:$N$13),Spain!$N$5:$N$13,0))</f>
        <v>Aldous Bio</v>
      </c>
      <c r="H9" s="15" t="n">
        <f aca="false">IF(COUNT(Spain!$L$5:$L$13)=0,"",MIN(Spain!$L$5:$L$13))</f>
        <v>44008</v>
      </c>
    </row>
    <row r="10" customFormat="false" ht="15" hidden="false" customHeight="false" outlineLevel="0" collapsed="false">
      <c r="A10" s="12" t="s">
        <v>66</v>
      </c>
      <c r="B10" s="12" t="n">
        <f aca="false">COUNTA(Portugal!$B$5:$B$13)</f>
        <v>9</v>
      </c>
      <c r="C10" s="12" t="n">
        <f aca="false">COUNTIF(Portugal!$F$5:$F$13,"Yes*")</f>
        <v>2</v>
      </c>
      <c r="D10" s="13" t="n">
        <f aca="false">SUM(Portugal!$N$5:$N$13)</f>
        <v>3703</v>
      </c>
      <c r="E10" s="13" t="n">
        <f aca="false">SUM(Portugal!$O$5:$O$13)</f>
        <v>500</v>
      </c>
      <c r="F10" s="14" t="n">
        <f aca="false">IFERROR(MEDIAN(Portugal!$J$5:$J$13),"")</f>
        <v>18.78</v>
      </c>
      <c r="G10" s="12" t="str">
        <f aca="false">INDEX(Portugal!$B$5:$B$13,MATCH(MAX(Portugal!$N$5:$N$13),Portugal!$N$5:$N$13,0))</f>
        <v>Sensilab.pt</v>
      </c>
      <c r="H10" s="15" t="n">
        <f aca="false">IF(COUNT(Portugal!$L$5:$L$13)=0,"",MIN(Portugal!$L$5:$L$13))</f>
        <v>45208</v>
      </c>
    </row>
    <row r="11" customFormat="false" ht="15" hidden="false" customHeight="false" outlineLevel="0" collapsed="false">
      <c r="A11" s="12" t="s">
        <v>26</v>
      </c>
      <c r="B11" s="12" t="n">
        <f aca="false">COUNTA(Switzerland!$B$5:$B$16)</f>
        <v>12</v>
      </c>
      <c r="C11" s="12" t="n">
        <f aca="false">COUNTIF(Switzerland!$F$5:$F$16,"Yes*")</f>
        <v>1</v>
      </c>
      <c r="D11" s="13" t="n">
        <f aca="false">SUM(Switzerland!$N$5:$N$16)</f>
        <v>9507</v>
      </c>
      <c r="E11" s="13" t="n">
        <f aca="false">SUM(Switzerland!$O$5:$O$16)</f>
        <v>2579</v>
      </c>
      <c r="F11" s="14" t="n">
        <f aca="false">IFERROR(MEDIAN(Switzerland!$J$5:$J$16),"")</f>
        <v>29.16285</v>
      </c>
      <c r="G11" s="12" t="str">
        <f aca="false">INDEX(Switzerland!$B$5:$B$16,MATCH(MAX(Switzerland!$N$5:$N$16),Switzerland!$N$5:$N$16,0))</f>
        <v>Lynae</v>
      </c>
      <c r="H11" s="15" t="n">
        <f aca="false">IF(COUNT(Switzerland!$L$5:$L$16)=0,"",MIN(Switzerland!$L$5:$L$16))</f>
        <v>45190</v>
      </c>
    </row>
    <row r="12" customFormat="false" ht="15" hidden="false" customHeight="false" outlineLevel="0" collapsed="false">
      <c r="A12" s="12" t="s">
        <v>67</v>
      </c>
      <c r="B12" s="12" t="n">
        <f aca="false">COUNTA(Ireland!$B$5:$B$12)</f>
        <v>8</v>
      </c>
      <c r="C12" s="12" t="n">
        <f aca="false">COUNTIF(Ireland!$F$5:$F$12,"Yes*")</f>
        <v>5</v>
      </c>
      <c r="D12" s="13" t="n">
        <f aca="false">SUM(Ireland!$N$5:$N$12)</f>
        <v>10439</v>
      </c>
      <c r="E12" s="13" t="n">
        <f aca="false">SUM(Ireland!$O$5:$O$12)</f>
        <v>1370</v>
      </c>
      <c r="F12" s="14" t="n">
        <f aca="false">IFERROR(MEDIAN(Ireland!$J$5:$J$12),"")</f>
        <v>34.94</v>
      </c>
      <c r="G12" s="12" t="str">
        <f aca="false">INDEX(Ireland!$B$5:$B$12,MATCH(MAX(Ireland!$N$5:$N$12),Ireland!$N$5:$N$12,0))</f>
        <v>Novomins Nutrition</v>
      </c>
      <c r="H12" s="15" t="n">
        <f aca="false">IF(COUNT(Ireland!$L$5:$L$12)=0,"",MIN(Ireland!$L$5:$L$12))</f>
        <v>44923</v>
      </c>
    </row>
    <row r="13" customFormat="false" ht="15" hidden="false" customHeight="false" outlineLevel="0" collapsed="false">
      <c r="A13" s="12" t="s">
        <v>68</v>
      </c>
      <c r="B13" s="12" t="n">
        <f aca="false">COUNTA(Austria!$B$5:$B$13)</f>
        <v>9</v>
      </c>
      <c r="C13" s="12" t="n">
        <f aca="false">COUNTIF(Austria!$F$5:$F$13,"Yes*")</f>
        <v>2</v>
      </c>
      <c r="D13" s="13" t="n">
        <f aca="false">SUM(Austria!$N$5:$N$13)</f>
        <v>8580</v>
      </c>
      <c r="E13" s="13" t="n">
        <f aca="false">SUM(Austria!$O$5:$O$13)</f>
        <v>1356</v>
      </c>
      <c r="F13" s="14" t="n">
        <f aca="false">IFERROR(MEDIAN(Austria!$J$5:$J$13),"")</f>
        <v>29</v>
      </c>
      <c r="G13" s="12" t="str">
        <f aca="false">INDEX(Austria!$B$5:$B$13,MATCH(MAX(Austria!$N$5:$N$13),Austria!$N$5:$N$13,0))</f>
        <v>Bears with Benefits</v>
      </c>
      <c r="H13" s="15" t="n">
        <f aca="false">IF(COUNT(Austria!$L$5:$L$13)=0,"",MIN(Austria!$L$5:$L$13))</f>
        <v>44166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69</v>
      </c>
    </row>
    <row r="2" customFormat="false" ht="15" hidden="false" customHeight="false" outlineLevel="0" collapsed="false">
      <c r="A2" s="16" t="s">
        <v>70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28.5" hidden="false" customHeight="true" outlineLevel="0" collapsed="false">
      <c r="A5" s="17" t="n">
        <v>1</v>
      </c>
      <c r="B5" s="17" t="s">
        <v>83</v>
      </c>
      <c r="C5" s="18" t="s">
        <v>84</v>
      </c>
      <c r="D5" s="18" t="s">
        <v>85</v>
      </c>
      <c r="E5" s="17" t="s">
        <v>86</v>
      </c>
      <c r="F5" s="17" t="s">
        <v>87</v>
      </c>
      <c r="G5" s="17" t="s">
        <v>88</v>
      </c>
      <c r="H5" s="19" t="n">
        <v>29.9</v>
      </c>
      <c r="I5" s="17" t="s">
        <v>47</v>
      </c>
      <c r="J5" s="20" t="n">
        <f aca="false">IF(H5="","",H5*INDEX(FX!$B$5:$B$8,MATCH(I5,FX!$A$5:$A$8,0)))</f>
        <v>29.9</v>
      </c>
      <c r="K5" s="17" t="s">
        <v>89</v>
      </c>
      <c r="L5" s="21" t="n">
        <v>45471</v>
      </c>
      <c r="M5" s="22" t="n">
        <f aca="false">IF(L5="","",'Read me'!$B$3-L5)</f>
        <v>829</v>
      </c>
      <c r="N5" s="23" t="n">
        <v>3405</v>
      </c>
      <c r="O5" s="23" t="n">
        <v>95</v>
      </c>
      <c r="P5" s="21" t="n">
        <v>46276</v>
      </c>
      <c r="Q5" s="22" t="n">
        <f aca="false">IF(P5="","",'Read me'!$B$3-P5)</f>
        <v>24</v>
      </c>
      <c r="R5" s="17"/>
    </row>
    <row r="6" customFormat="false" ht="28.5" hidden="false" customHeight="true" outlineLevel="0" collapsed="false">
      <c r="A6" s="17" t="n">
        <v>2</v>
      </c>
      <c r="B6" s="17" t="s">
        <v>90</v>
      </c>
      <c r="C6" s="18" t="s">
        <v>91</v>
      </c>
      <c r="D6" s="18" t="s">
        <v>85</v>
      </c>
      <c r="E6" s="17" t="s">
        <v>92</v>
      </c>
      <c r="F6" s="17" t="s">
        <v>93</v>
      </c>
      <c r="G6" s="17" t="s">
        <v>94</v>
      </c>
      <c r="H6" s="19" t="n">
        <v>21.9</v>
      </c>
      <c r="I6" s="17" t="s">
        <v>47</v>
      </c>
      <c r="J6" s="20" t="n">
        <f aca="false">IF(H6="","",H6*INDEX(FX!$B$5:$B$8,MATCH(I6,FX!$A$5:$A$8,0)))</f>
        <v>21.9</v>
      </c>
      <c r="K6" s="17" t="s">
        <v>95</v>
      </c>
      <c r="L6" s="21" t="n">
        <v>44628</v>
      </c>
      <c r="M6" s="22" t="n">
        <f aca="false">IF(L6="","",'Read me'!$B$3-L6)</f>
        <v>1672</v>
      </c>
      <c r="N6" s="23" t="n">
        <v>3386</v>
      </c>
      <c r="O6" s="23" t="n">
        <v>299</v>
      </c>
      <c r="P6" s="21" t="n">
        <v>45958</v>
      </c>
      <c r="Q6" s="22" t="n">
        <f aca="false">IF(P6="","",'Read me'!$B$3-P6)</f>
        <v>342</v>
      </c>
      <c r="R6" s="17"/>
    </row>
    <row r="7" customFormat="false" ht="42" hidden="false" customHeight="true" outlineLevel="0" collapsed="false">
      <c r="A7" s="17" t="n">
        <v>3</v>
      </c>
      <c r="B7" s="17" t="s">
        <v>96</v>
      </c>
      <c r="C7" s="18" t="s">
        <v>97</v>
      </c>
      <c r="D7" s="18" t="s">
        <v>85</v>
      </c>
      <c r="E7" s="17" t="s">
        <v>98</v>
      </c>
      <c r="F7" s="17" t="s">
        <v>93</v>
      </c>
      <c r="G7" s="17" t="s">
        <v>99</v>
      </c>
      <c r="H7" s="19" t="n">
        <v>34</v>
      </c>
      <c r="I7" s="17" t="s">
        <v>47</v>
      </c>
      <c r="J7" s="20" t="n">
        <f aca="false">IF(H7="","",H7*INDEX(FX!$B$5:$B$8,MATCH(I7,FX!$A$5:$A$8,0)))</f>
        <v>34</v>
      </c>
      <c r="K7" s="17" t="s">
        <v>100</v>
      </c>
      <c r="L7" s="21" t="n">
        <v>45759</v>
      </c>
      <c r="M7" s="22" t="n">
        <f aca="false">IF(L7="","",'Read me'!$B$3-L7)</f>
        <v>541</v>
      </c>
      <c r="N7" s="23" t="n">
        <v>2555</v>
      </c>
      <c r="O7" s="23" t="n">
        <v>269</v>
      </c>
      <c r="P7" s="21" t="n">
        <v>46125</v>
      </c>
      <c r="Q7" s="22" t="n">
        <f aca="false">IF(P7="","",'Read me'!$B$3-P7)</f>
        <v>175</v>
      </c>
      <c r="R7" s="17" t="s">
        <v>101</v>
      </c>
    </row>
    <row r="8" customFormat="false" ht="42" hidden="false" customHeight="true" outlineLevel="0" collapsed="false">
      <c r="A8" s="17" t="n">
        <v>4</v>
      </c>
      <c r="B8" s="17" t="s">
        <v>102</v>
      </c>
      <c r="C8" s="18" t="s">
        <v>103</v>
      </c>
      <c r="D8" s="18" t="s">
        <v>85</v>
      </c>
      <c r="E8" s="17" t="s">
        <v>104</v>
      </c>
      <c r="F8" s="17" t="s">
        <v>93</v>
      </c>
      <c r="G8" s="17" t="s">
        <v>105</v>
      </c>
      <c r="H8" s="19" t="n">
        <v>59.9</v>
      </c>
      <c r="I8" s="17" t="s">
        <v>47</v>
      </c>
      <c r="J8" s="20" t="n">
        <f aca="false">IF(H8="","",H8*INDEX(FX!$B$5:$B$8,MATCH(I8,FX!$A$5:$A$8,0)))</f>
        <v>59.9</v>
      </c>
      <c r="K8" s="17" t="s">
        <v>106</v>
      </c>
      <c r="L8" s="21" t="n">
        <v>45162</v>
      </c>
      <c r="M8" s="22" t="n">
        <f aca="false">IF(L8="","",'Read me'!$B$3-L8)</f>
        <v>1138</v>
      </c>
      <c r="N8" s="23" t="n">
        <v>2550</v>
      </c>
      <c r="O8" s="23" t="n">
        <v>317</v>
      </c>
      <c r="P8" s="21" t="n">
        <v>45917</v>
      </c>
      <c r="Q8" s="22" t="n">
        <f aca="false">IF(P8="","",'Read me'!$B$3-P8)</f>
        <v>383</v>
      </c>
      <c r="R8" s="17" t="s">
        <v>107</v>
      </c>
    </row>
    <row r="9" customFormat="false" ht="42" hidden="false" customHeight="true" outlineLevel="0" collapsed="false">
      <c r="A9" s="17" t="n">
        <v>5</v>
      </c>
      <c r="B9" s="17" t="s">
        <v>108</v>
      </c>
      <c r="C9" s="18" t="s">
        <v>109</v>
      </c>
      <c r="D9" s="18" t="s">
        <v>85</v>
      </c>
      <c r="E9" s="17" t="s">
        <v>110</v>
      </c>
      <c r="F9" s="17" t="s">
        <v>111</v>
      </c>
      <c r="G9" s="17" t="s">
        <v>112</v>
      </c>
      <c r="H9" s="19" t="n">
        <v>39.8</v>
      </c>
      <c r="I9" s="17" t="s">
        <v>47</v>
      </c>
      <c r="J9" s="20" t="n">
        <f aca="false">IF(H9="","",H9*INDEX(FX!$B$5:$B$8,MATCH(I9,FX!$A$5:$A$8,0)))</f>
        <v>39.8</v>
      </c>
      <c r="K9" s="17" t="s">
        <v>113</v>
      </c>
      <c r="L9" s="21" t="n">
        <v>45329</v>
      </c>
      <c r="M9" s="22" t="n">
        <f aca="false">IF(L9="","",'Read me'!$B$3-L9)</f>
        <v>971</v>
      </c>
      <c r="N9" s="23" t="n">
        <v>2309</v>
      </c>
      <c r="O9" s="23" t="n">
        <v>1289</v>
      </c>
      <c r="P9" s="21" t="n">
        <v>45588</v>
      </c>
      <c r="Q9" s="22" t="n">
        <f aca="false">IF(P9="","",'Read me'!$B$3-P9)</f>
        <v>712</v>
      </c>
      <c r="R9" s="17"/>
    </row>
    <row r="10" customFormat="false" ht="42" hidden="false" customHeight="true" outlineLevel="0" collapsed="false">
      <c r="A10" s="17" t="n">
        <v>6</v>
      </c>
      <c r="B10" s="17" t="s">
        <v>114</v>
      </c>
      <c r="C10" s="18" t="s">
        <v>115</v>
      </c>
      <c r="D10" s="18" t="s">
        <v>85</v>
      </c>
      <c r="E10" s="17" t="s">
        <v>116</v>
      </c>
      <c r="F10" s="17" t="s">
        <v>111</v>
      </c>
      <c r="G10" s="17" t="s">
        <v>117</v>
      </c>
      <c r="H10" s="19" t="n">
        <v>30.9</v>
      </c>
      <c r="I10" s="17" t="s">
        <v>47</v>
      </c>
      <c r="J10" s="20" t="n">
        <f aca="false">IF(H10="","",H10*INDEX(FX!$B$5:$B$8,MATCH(I10,FX!$A$5:$A$8,0)))</f>
        <v>30.9</v>
      </c>
      <c r="K10" s="17" t="s">
        <v>118</v>
      </c>
      <c r="L10" s="21" t="n">
        <v>45505</v>
      </c>
      <c r="M10" s="22" t="n">
        <f aca="false">IF(L10="","",'Read me'!$B$3-L10)</f>
        <v>795</v>
      </c>
      <c r="N10" s="23" t="n">
        <v>1335</v>
      </c>
      <c r="O10" s="23" t="n">
        <v>139</v>
      </c>
      <c r="P10" s="21" t="n">
        <v>46141</v>
      </c>
      <c r="Q10" s="22" t="n">
        <f aca="false">IF(P10="","",'Read me'!$B$3-P10)</f>
        <v>159</v>
      </c>
      <c r="R10" s="17"/>
    </row>
    <row r="11" customFormat="false" ht="28.5" hidden="false" customHeight="true" outlineLevel="0" collapsed="false">
      <c r="A11" s="17" t="n">
        <v>7</v>
      </c>
      <c r="B11" s="17" t="s">
        <v>119</v>
      </c>
      <c r="C11" s="18" t="s">
        <v>120</v>
      </c>
      <c r="D11" s="18" t="s">
        <v>85</v>
      </c>
      <c r="E11" s="17" t="s">
        <v>121</v>
      </c>
      <c r="F11" s="17" t="s">
        <v>111</v>
      </c>
      <c r="G11" s="17" t="s">
        <v>122</v>
      </c>
      <c r="H11" s="19" t="n">
        <v>7.1</v>
      </c>
      <c r="I11" s="17" t="s">
        <v>47</v>
      </c>
      <c r="J11" s="20" t="n">
        <f aca="false">IF(H11="","",H11*INDEX(FX!$B$5:$B$8,MATCH(I11,FX!$A$5:$A$8,0)))</f>
        <v>7.1</v>
      </c>
      <c r="K11" s="17" t="s">
        <v>123</v>
      </c>
      <c r="L11" s="21" t="n">
        <v>46090</v>
      </c>
      <c r="M11" s="22" t="n">
        <f aca="false">IF(L11="","",'Read me'!$B$3-L11)</f>
        <v>210</v>
      </c>
      <c r="N11" s="23" t="n">
        <v>91</v>
      </c>
      <c r="O11" s="23" t="n">
        <v>11</v>
      </c>
      <c r="P11" s="21" t="n">
        <v>46268</v>
      </c>
      <c r="Q11" s="22" t="n">
        <f aca="false">IF(P11="","",'Read me'!$B$3-P11)</f>
        <v>32</v>
      </c>
      <c r="R11" s="17"/>
    </row>
    <row r="12" customFormat="false" ht="42" hidden="false" customHeight="true" outlineLevel="0" collapsed="false">
      <c r="A12" s="17" t="n">
        <v>8</v>
      </c>
      <c r="B12" s="17" t="s">
        <v>124</v>
      </c>
      <c r="C12" s="18" t="s">
        <v>125</v>
      </c>
      <c r="D12" s="18" t="s">
        <v>85</v>
      </c>
      <c r="E12" s="17" t="s">
        <v>126</v>
      </c>
      <c r="F12" s="17" t="s">
        <v>127</v>
      </c>
      <c r="G12" s="17" t="s">
        <v>128</v>
      </c>
      <c r="H12" s="19" t="n">
        <v>34.9</v>
      </c>
      <c r="I12" s="17" t="s">
        <v>47</v>
      </c>
      <c r="J12" s="20" t="n">
        <f aca="false">IF(H12="","",H12*INDEX(FX!$B$5:$B$8,MATCH(I12,FX!$A$5:$A$8,0)))</f>
        <v>34.9</v>
      </c>
      <c r="K12" s="17" t="s">
        <v>129</v>
      </c>
      <c r="L12" s="21" t="n">
        <v>46300</v>
      </c>
      <c r="M12" s="22" t="n">
        <f aca="false">IF(L12="","",'Read me'!$B$3-L12)</f>
        <v>0</v>
      </c>
      <c r="N12" s="23" t="n">
        <v>26</v>
      </c>
      <c r="O12" s="23" t="n">
        <v>26</v>
      </c>
      <c r="P12" s="21" t="n">
        <v>46300</v>
      </c>
      <c r="Q12" s="22" t="n">
        <f aca="false">IF(P12="","",'Read me'!$B$3-P12)</f>
        <v>0</v>
      </c>
      <c r="R12" s="17"/>
    </row>
  </sheetData>
  <hyperlinks>
    <hyperlink ref="C5" r:id="rId1" display="https://www.frenchmush.com"/>
    <hyperlink ref="D5" r:id="rId2" display="Open Ad Library"/>
    <hyperlink ref="C6" r:id="rId3" display="https://www.miumlab.com"/>
    <hyperlink ref="D6" r:id="rId4" display="Open Ad Library"/>
    <hyperlink ref="C7" r:id="rId5" display="https://harmova.com"/>
    <hyperlink ref="D7" r:id="rId6" display="Open Ad Library"/>
    <hyperlink ref="C8" r:id="rId7" display="https://www.lashilebeauty.com"/>
    <hyperlink ref="D8" r:id="rId8" display="Open Ad Library"/>
    <hyperlink ref="C9" r:id="rId9" display="https://luxeol.com"/>
    <hyperlink ref="D9" r:id="rId10" display="Open Ad Library"/>
    <hyperlink ref="C10" r:id="rId11" display="https://www.valebio.com"/>
    <hyperlink ref="D10" r:id="rId12" display="Open Ad Library"/>
    <hyperlink ref="C11" r:id="rId13" display="https://www.naturactive.fr"/>
    <hyperlink ref="D11" r:id="rId14" display="Open Ad Library"/>
    <hyperlink ref="C12" r:id="rId15" display="https://dose-labo.com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130</v>
      </c>
    </row>
    <row r="2" customFormat="false" ht="15" hidden="false" customHeight="false" outlineLevel="0" collapsed="false">
      <c r="A2" s="16" t="s">
        <v>70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28.5" hidden="false" customHeight="true" outlineLevel="0" collapsed="false">
      <c r="A5" s="17" t="n">
        <v>1</v>
      </c>
      <c r="B5" s="17" t="s">
        <v>131</v>
      </c>
      <c r="C5" s="18" t="s">
        <v>132</v>
      </c>
      <c r="D5" s="18" t="s">
        <v>85</v>
      </c>
      <c r="E5" s="17" t="s">
        <v>133</v>
      </c>
      <c r="F5" s="17" t="s">
        <v>134</v>
      </c>
      <c r="G5" s="17" t="s">
        <v>135</v>
      </c>
      <c r="H5" s="19" t="n">
        <v>14.99</v>
      </c>
      <c r="I5" s="17" t="s">
        <v>47</v>
      </c>
      <c r="J5" s="20" t="n">
        <f aca="false">IF(H5="","",H5*INDEX(FX!$B$5:$B$8,MATCH(I5,FX!$A$5:$A$8,0)))</f>
        <v>14.99</v>
      </c>
      <c r="K5" s="17" t="s">
        <v>136</v>
      </c>
      <c r="L5" s="21" t="n">
        <v>45181</v>
      </c>
      <c r="M5" s="22" t="n">
        <f aca="false">IF(L5="","",'Read me'!$B$3-L5)</f>
        <v>1119</v>
      </c>
      <c r="N5" s="23" t="n">
        <v>15046</v>
      </c>
      <c r="O5" s="23" t="n">
        <v>2636</v>
      </c>
      <c r="P5" s="21" t="n">
        <v>46238</v>
      </c>
      <c r="Q5" s="22" t="n">
        <f aca="false">IF(P5="","",'Read me'!$B$3-P5)</f>
        <v>62</v>
      </c>
      <c r="R5" s="17" t="s">
        <v>137</v>
      </c>
    </row>
    <row r="6" customFormat="false" ht="42" hidden="false" customHeight="true" outlineLevel="0" collapsed="false">
      <c r="A6" s="17" t="n">
        <v>2</v>
      </c>
      <c r="B6" s="17" t="s">
        <v>138</v>
      </c>
      <c r="C6" s="18" t="s">
        <v>139</v>
      </c>
      <c r="D6" s="18" t="s">
        <v>85</v>
      </c>
      <c r="E6" s="17" t="s">
        <v>140</v>
      </c>
      <c r="F6" s="17" t="s">
        <v>141</v>
      </c>
      <c r="G6" s="17" t="s">
        <v>142</v>
      </c>
      <c r="H6" s="19" t="n">
        <v>27.9</v>
      </c>
      <c r="I6" s="17" t="s">
        <v>47</v>
      </c>
      <c r="J6" s="20" t="n">
        <f aca="false">IF(H6="","",H6*INDEX(FX!$B$5:$B$8,MATCH(I6,FX!$A$5:$A$8,0)))</f>
        <v>27.9</v>
      </c>
      <c r="K6" s="17" t="s">
        <v>143</v>
      </c>
      <c r="L6" s="21" t="n">
        <v>45888</v>
      </c>
      <c r="M6" s="22" t="n">
        <f aca="false">IF(L6="","",'Read me'!$B$3-L6)</f>
        <v>412</v>
      </c>
      <c r="N6" s="23" t="n">
        <v>5847</v>
      </c>
      <c r="O6" s="23" t="n">
        <v>1360</v>
      </c>
      <c r="P6" s="21" t="n">
        <v>46245</v>
      </c>
      <c r="Q6" s="22" t="n">
        <f aca="false">IF(P6="","",'Read me'!$B$3-P6)</f>
        <v>55</v>
      </c>
      <c r="R6" s="17" t="s">
        <v>144</v>
      </c>
    </row>
    <row r="7" customFormat="false" ht="42" hidden="false" customHeight="true" outlineLevel="0" collapsed="false">
      <c r="A7" s="17" t="n">
        <v>3</v>
      </c>
      <c r="B7" s="17" t="s">
        <v>145</v>
      </c>
      <c r="C7" s="18" t="s">
        <v>146</v>
      </c>
      <c r="D7" s="18" t="s">
        <v>85</v>
      </c>
      <c r="E7" s="17" t="s">
        <v>147</v>
      </c>
      <c r="F7" s="17" t="s">
        <v>93</v>
      </c>
      <c r="G7" s="17" t="s">
        <v>148</v>
      </c>
      <c r="H7" s="19" t="n">
        <v>49.9</v>
      </c>
      <c r="I7" s="17" t="s">
        <v>47</v>
      </c>
      <c r="J7" s="20" t="n">
        <f aca="false">IF(H7="","",H7*INDEX(FX!$B$5:$B$8,MATCH(I7,FX!$A$5:$A$8,0)))</f>
        <v>49.9</v>
      </c>
      <c r="K7" s="17" t="s">
        <v>149</v>
      </c>
      <c r="L7" s="21" t="n">
        <v>44166</v>
      </c>
      <c r="M7" s="22" t="n">
        <f aca="false">IF(L7="","",'Read me'!$B$3-L7)</f>
        <v>2134</v>
      </c>
      <c r="N7" s="23" t="n">
        <v>2693</v>
      </c>
      <c r="O7" s="23" t="n">
        <v>218</v>
      </c>
      <c r="P7" s="21" t="n">
        <v>46034</v>
      </c>
      <c r="Q7" s="22" t="n">
        <f aca="false">IF(P7="","",'Read me'!$B$3-P7)</f>
        <v>266</v>
      </c>
      <c r="R7" s="17" t="s">
        <v>150</v>
      </c>
    </row>
    <row r="8" customFormat="false" ht="42" hidden="false" customHeight="true" outlineLevel="0" collapsed="false">
      <c r="A8" s="17" t="n">
        <v>4</v>
      </c>
      <c r="B8" s="17" t="s">
        <v>151</v>
      </c>
      <c r="C8" s="18" t="s">
        <v>152</v>
      </c>
      <c r="D8" s="18" t="s">
        <v>85</v>
      </c>
      <c r="E8" s="17" t="s">
        <v>153</v>
      </c>
      <c r="F8" s="17" t="s">
        <v>111</v>
      </c>
      <c r="G8" s="17" t="s">
        <v>154</v>
      </c>
      <c r="H8" s="19" t="n">
        <v>12.95</v>
      </c>
      <c r="I8" s="17" t="s">
        <v>47</v>
      </c>
      <c r="J8" s="20" t="n">
        <f aca="false">IF(H8="","",H8*INDEX(FX!$B$5:$B$8,MATCH(I8,FX!$A$5:$A$8,0)))</f>
        <v>12.95</v>
      </c>
      <c r="K8" s="17" t="s">
        <v>155</v>
      </c>
      <c r="L8" s="21" t="n">
        <v>45812</v>
      </c>
      <c r="M8" s="22" t="n">
        <f aca="false">IF(L8="","",'Read me'!$B$3-L8)</f>
        <v>488</v>
      </c>
      <c r="N8" s="23" t="n">
        <v>2122</v>
      </c>
      <c r="O8" s="23" t="n">
        <v>44</v>
      </c>
      <c r="P8" s="21" t="n">
        <v>46137</v>
      </c>
      <c r="Q8" s="22" t="n">
        <f aca="false">IF(P8="","",'Read me'!$B$3-P8)</f>
        <v>163</v>
      </c>
      <c r="R8" s="17"/>
    </row>
    <row r="9" customFormat="false" ht="28.5" hidden="false" customHeight="true" outlineLevel="0" collapsed="false">
      <c r="A9" s="17" t="n">
        <v>5</v>
      </c>
      <c r="B9" s="17" t="s">
        <v>156</v>
      </c>
      <c r="C9" s="18" t="s">
        <v>157</v>
      </c>
      <c r="D9" s="18" t="s">
        <v>85</v>
      </c>
      <c r="E9" s="17" t="s">
        <v>158</v>
      </c>
      <c r="F9" s="17" t="s">
        <v>93</v>
      </c>
      <c r="G9" s="17" t="s">
        <v>159</v>
      </c>
      <c r="H9" s="19" t="n">
        <v>29.99</v>
      </c>
      <c r="I9" s="17" t="s">
        <v>47</v>
      </c>
      <c r="J9" s="20" t="n">
        <f aca="false">IF(H9="","",H9*INDEX(FX!$B$5:$B$8,MATCH(I9,FX!$A$5:$A$8,0)))</f>
        <v>29.99</v>
      </c>
      <c r="K9" s="17" t="s">
        <v>160</v>
      </c>
      <c r="L9" s="21" t="n">
        <v>45788</v>
      </c>
      <c r="M9" s="22" t="n">
        <f aca="false">IF(L9="","",'Read me'!$B$3-L9)</f>
        <v>512</v>
      </c>
      <c r="N9" s="23" t="n">
        <v>1632</v>
      </c>
      <c r="O9" s="23" t="n">
        <v>43</v>
      </c>
      <c r="P9" s="21" t="n">
        <v>46154</v>
      </c>
      <c r="Q9" s="22" t="n">
        <f aca="false">IF(P9="","",'Read me'!$B$3-P9)</f>
        <v>146</v>
      </c>
      <c r="R9" s="17"/>
    </row>
    <row r="10" customFormat="false" ht="42" hidden="false" customHeight="true" outlineLevel="0" collapsed="false">
      <c r="A10" s="17" t="n">
        <v>6</v>
      </c>
      <c r="B10" s="17" t="s">
        <v>161</v>
      </c>
      <c r="C10" s="18" t="s">
        <v>162</v>
      </c>
      <c r="D10" s="18" t="s">
        <v>85</v>
      </c>
      <c r="E10" s="17" t="s">
        <v>163</v>
      </c>
      <c r="F10" s="17" t="s">
        <v>93</v>
      </c>
      <c r="G10" s="17" t="s">
        <v>164</v>
      </c>
      <c r="H10" s="19" t="n">
        <v>19.9</v>
      </c>
      <c r="I10" s="17" t="s">
        <v>47</v>
      </c>
      <c r="J10" s="20" t="n">
        <f aca="false">IF(H10="","",H10*INDEX(FX!$B$5:$B$8,MATCH(I10,FX!$A$5:$A$8,0)))</f>
        <v>19.9</v>
      </c>
      <c r="K10" s="17" t="s">
        <v>165</v>
      </c>
      <c r="L10" s="21" t="n">
        <v>45592</v>
      </c>
      <c r="M10" s="22" t="n">
        <f aca="false">IF(L10="","",'Read me'!$B$3-L10)</f>
        <v>708</v>
      </c>
      <c r="N10" s="23" t="n">
        <v>321</v>
      </c>
      <c r="O10" s="23" t="n">
        <v>55</v>
      </c>
      <c r="P10" s="21" t="n">
        <v>46129</v>
      </c>
      <c r="Q10" s="22" t="n">
        <f aca="false">IF(P10="","",'Read me'!$B$3-P10)</f>
        <v>171</v>
      </c>
      <c r="R10" s="17"/>
    </row>
    <row r="11" customFormat="false" ht="28.5" hidden="false" customHeight="true" outlineLevel="0" collapsed="false">
      <c r="A11" s="17" t="n">
        <v>7</v>
      </c>
      <c r="B11" s="17" t="s">
        <v>166</v>
      </c>
      <c r="C11" s="18" t="s">
        <v>167</v>
      </c>
      <c r="D11" s="18" t="s">
        <v>85</v>
      </c>
      <c r="E11" s="17" t="s">
        <v>168</v>
      </c>
      <c r="F11" s="17" t="s">
        <v>169</v>
      </c>
      <c r="G11" s="17" t="s">
        <v>170</v>
      </c>
      <c r="H11" s="19" t="n">
        <v>28.49</v>
      </c>
      <c r="I11" s="17" t="s">
        <v>47</v>
      </c>
      <c r="J11" s="20" t="n">
        <f aca="false">IF(H11="","",H11*INDEX(FX!$B$5:$B$8,MATCH(I11,FX!$A$5:$A$8,0)))</f>
        <v>28.49</v>
      </c>
      <c r="K11" s="17" t="s">
        <v>171</v>
      </c>
      <c r="L11" s="21" t="n">
        <v>45944</v>
      </c>
      <c r="M11" s="22" t="n">
        <f aca="false">IF(L11="","",'Read me'!$B$3-L11)</f>
        <v>356</v>
      </c>
      <c r="N11" s="23" t="n">
        <v>216</v>
      </c>
      <c r="O11" s="23" t="n">
        <v>11</v>
      </c>
      <c r="P11" s="21" t="n">
        <v>46088</v>
      </c>
      <c r="Q11" s="22" t="n">
        <f aca="false">IF(P11="","",'Read me'!$B$3-P11)</f>
        <v>212</v>
      </c>
      <c r="R11" s="17"/>
    </row>
    <row r="12" customFormat="false" ht="42" hidden="false" customHeight="true" outlineLevel="0" collapsed="false">
      <c r="A12" s="17" t="n">
        <v>8</v>
      </c>
      <c r="B12" s="17" t="s">
        <v>172</v>
      </c>
      <c r="C12" s="18" t="s">
        <v>173</v>
      </c>
      <c r="D12" s="18" t="s">
        <v>85</v>
      </c>
      <c r="E12" s="17" t="s">
        <v>174</v>
      </c>
      <c r="F12" s="17" t="s">
        <v>175</v>
      </c>
      <c r="G12" s="17" t="s">
        <v>176</v>
      </c>
      <c r="H12" s="19" t="n">
        <v>11.9</v>
      </c>
      <c r="I12" s="17" t="s">
        <v>47</v>
      </c>
      <c r="J12" s="20" t="n">
        <f aca="false">IF(H12="","",H12*INDEX(FX!$B$5:$B$8,MATCH(I12,FX!$A$5:$A$8,0)))</f>
        <v>11.9</v>
      </c>
      <c r="K12" s="17" t="s">
        <v>177</v>
      </c>
      <c r="L12" s="21" t="n">
        <v>45386</v>
      </c>
      <c r="M12" s="22" t="n">
        <f aca="false">IF(L12="","",'Read me'!$B$3-L12)</f>
        <v>914</v>
      </c>
      <c r="N12" s="23" t="n">
        <v>209</v>
      </c>
      <c r="O12" s="23" t="n">
        <v>83</v>
      </c>
      <c r="P12" s="21" t="n">
        <v>45670</v>
      </c>
      <c r="Q12" s="22" t="n">
        <f aca="false">IF(P12="","",'Read me'!$B$3-P12)</f>
        <v>630</v>
      </c>
      <c r="R12" s="17"/>
    </row>
  </sheetData>
  <hyperlinks>
    <hyperlink ref="C5" r:id="rId1" display="https://www.ahead-nutrition.com"/>
    <hyperlink ref="D5" r:id="rId2" display="Open Ad Library"/>
    <hyperlink ref="C6" r:id="rId3" display="https://www.esn.com"/>
    <hyperlink ref="D6" r:id="rId4" display="Open Ad Library"/>
    <hyperlink ref="C7" r:id="rId5" display="https://www.bears-with-benefits.com"/>
    <hyperlink ref="D7" r:id="rId6" display="Open Ad Library"/>
    <hyperlink ref="C8" r:id="rId7" display="https://hormonella.co"/>
    <hyperlink ref="D8" r:id="rId8" display="Open Ad Library"/>
    <hyperlink ref="C9" r:id="rId9" display="https://femipore.de"/>
    <hyperlink ref="D9" r:id="rId10" display="Open Ad Library"/>
    <hyperlink ref="C10" r:id="rId11" display="https://www.wowtamins.de"/>
    <hyperlink ref="D10" r:id="rId12" display="Open Ad Library"/>
    <hyperlink ref="C11" r:id="rId13" display="https://hpn-store.de"/>
    <hyperlink ref="D11" r:id="rId14" display="Open Ad Library"/>
    <hyperlink ref="C12" r:id="rId15" display="https://bettertaste.shop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178</v>
      </c>
    </row>
    <row r="2" customFormat="false" ht="15" hidden="false" customHeight="false" outlineLevel="0" collapsed="false">
      <c r="A2" s="16" t="s">
        <v>179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42" hidden="false" customHeight="true" outlineLevel="0" collapsed="false">
      <c r="A5" s="17" t="n">
        <v>1</v>
      </c>
      <c r="B5" s="17" t="s">
        <v>180</v>
      </c>
      <c r="C5" s="18" t="s">
        <v>181</v>
      </c>
      <c r="D5" s="18" t="s">
        <v>85</v>
      </c>
      <c r="E5" s="17" t="s">
        <v>182</v>
      </c>
      <c r="F5" s="17" t="s">
        <v>183</v>
      </c>
      <c r="G5" s="17" t="s">
        <v>184</v>
      </c>
      <c r="H5" s="19" t="n">
        <v>17.99</v>
      </c>
      <c r="I5" s="17" t="s">
        <v>47</v>
      </c>
      <c r="J5" s="20" t="n">
        <f aca="false">IF(H5="","",H5*INDEX(FX!$B$5:$B$8,MATCH(I5,FX!$A$5:$A$8,0)))</f>
        <v>17.99</v>
      </c>
      <c r="K5" s="17" t="s">
        <v>185</v>
      </c>
      <c r="L5" s="21" t="n">
        <v>45432</v>
      </c>
      <c r="M5" s="22" t="n">
        <f aca="false">IF(L5="","",'Read me'!$B$3-L5)</f>
        <v>868</v>
      </c>
      <c r="N5" s="23" t="n">
        <v>2122</v>
      </c>
      <c r="O5" s="23" t="n">
        <v>245</v>
      </c>
      <c r="P5" s="21" t="n">
        <v>46104</v>
      </c>
      <c r="Q5" s="22" t="n">
        <f aca="false">IF(P5="","",'Read me'!$B$3-P5)</f>
        <v>196</v>
      </c>
      <c r="R5" s="17"/>
    </row>
    <row r="6" customFormat="false" ht="28.5" hidden="false" customHeight="true" outlineLevel="0" collapsed="false">
      <c r="A6" s="17" t="n">
        <v>2</v>
      </c>
      <c r="B6" s="17" t="s">
        <v>186</v>
      </c>
      <c r="C6" s="18" t="s">
        <v>187</v>
      </c>
      <c r="D6" s="18" t="s">
        <v>85</v>
      </c>
      <c r="E6" s="17" t="s">
        <v>188</v>
      </c>
      <c r="F6" s="17" t="s">
        <v>87</v>
      </c>
      <c r="G6" s="17" t="s">
        <v>189</v>
      </c>
      <c r="H6" s="19" t="n">
        <v>16.99</v>
      </c>
      <c r="I6" s="17" t="s">
        <v>47</v>
      </c>
      <c r="J6" s="20" t="n">
        <f aca="false">IF(H6="","",H6*INDEX(FX!$B$5:$B$8,MATCH(I6,FX!$A$5:$A$8,0)))</f>
        <v>16.99</v>
      </c>
      <c r="K6" s="17" t="s">
        <v>190</v>
      </c>
      <c r="L6" s="21" t="n">
        <v>45609</v>
      </c>
      <c r="M6" s="22" t="n">
        <f aca="false">IF(L6="","",'Read me'!$B$3-L6)</f>
        <v>691</v>
      </c>
      <c r="N6" s="23" t="n">
        <v>1954</v>
      </c>
      <c r="O6" s="23" t="n">
        <v>148</v>
      </c>
      <c r="P6" s="21" t="n">
        <v>45827</v>
      </c>
      <c r="Q6" s="22" t="n">
        <f aca="false">IF(P6="","",'Read me'!$B$3-P6)</f>
        <v>473</v>
      </c>
      <c r="R6" s="17"/>
    </row>
    <row r="7" customFormat="false" ht="28.5" hidden="false" customHeight="true" outlineLevel="0" collapsed="false">
      <c r="A7" s="17" t="n">
        <v>3</v>
      </c>
      <c r="B7" s="17" t="s">
        <v>191</v>
      </c>
      <c r="C7" s="18" t="s">
        <v>192</v>
      </c>
      <c r="D7" s="18" t="s">
        <v>85</v>
      </c>
      <c r="E7" s="17" t="s">
        <v>193</v>
      </c>
      <c r="F7" s="17" t="s">
        <v>93</v>
      </c>
      <c r="G7" s="17" t="s">
        <v>194</v>
      </c>
      <c r="H7" s="19" t="n">
        <v>59.99</v>
      </c>
      <c r="I7" s="17" t="s">
        <v>50</v>
      </c>
      <c r="J7" s="20" t="n">
        <f aca="false">IF(H7="","",H7*INDEX(FX!$B$5:$B$8,MATCH(I7,FX!$A$5:$A$8,0)))</f>
        <v>55.1908</v>
      </c>
      <c r="K7" s="17" t="s">
        <v>195</v>
      </c>
      <c r="L7" s="21" t="n">
        <v>46070</v>
      </c>
      <c r="M7" s="22" t="n">
        <f aca="false">IF(L7="","",'Read me'!$B$3-L7)</f>
        <v>230</v>
      </c>
      <c r="N7" s="23" t="n">
        <v>1465</v>
      </c>
      <c r="O7" s="23" t="n">
        <v>111</v>
      </c>
      <c r="P7" s="21" t="n">
        <v>46293</v>
      </c>
      <c r="Q7" s="22" t="n">
        <f aca="false">IF(P7="","",'Read me'!$B$3-P7)</f>
        <v>7</v>
      </c>
      <c r="R7" s="17" t="s">
        <v>196</v>
      </c>
    </row>
    <row r="8" customFormat="false" ht="28.5" hidden="false" customHeight="true" outlineLevel="0" collapsed="false">
      <c r="A8" s="17" t="n">
        <v>4</v>
      </c>
      <c r="B8" s="17" t="s">
        <v>197</v>
      </c>
      <c r="C8" s="18" t="s">
        <v>198</v>
      </c>
      <c r="D8" s="18" t="s">
        <v>85</v>
      </c>
      <c r="E8" s="17" t="s">
        <v>86</v>
      </c>
      <c r="F8" s="17" t="s">
        <v>87</v>
      </c>
      <c r="G8" s="17" t="s">
        <v>199</v>
      </c>
      <c r="H8" s="19" t="n">
        <v>29.9</v>
      </c>
      <c r="I8" s="17" t="s">
        <v>47</v>
      </c>
      <c r="J8" s="20" t="n">
        <f aca="false">IF(H8="","",H8*INDEX(FX!$B$5:$B$8,MATCH(I8,FX!$A$5:$A$8,0)))</f>
        <v>29.9</v>
      </c>
      <c r="K8" s="17" t="s">
        <v>200</v>
      </c>
      <c r="L8" s="21" t="n">
        <v>45674</v>
      </c>
      <c r="M8" s="22" t="n">
        <f aca="false">IF(L8="","",'Read me'!$B$3-L8)</f>
        <v>626</v>
      </c>
      <c r="N8" s="23" t="n">
        <v>1264</v>
      </c>
      <c r="O8" s="23" t="n">
        <v>65</v>
      </c>
      <c r="P8" s="21" t="n">
        <v>46238</v>
      </c>
      <c r="Q8" s="22" t="n">
        <f aca="false">IF(P8="","",'Read me'!$B$3-P8)</f>
        <v>62</v>
      </c>
      <c r="R8" s="17" t="s">
        <v>201</v>
      </c>
    </row>
    <row r="9" customFormat="false" ht="28.5" hidden="false" customHeight="true" outlineLevel="0" collapsed="false">
      <c r="A9" s="17" t="n">
        <v>5</v>
      </c>
      <c r="B9" s="17" t="s">
        <v>202</v>
      </c>
      <c r="C9" s="18" t="s">
        <v>203</v>
      </c>
      <c r="D9" s="18" t="s">
        <v>85</v>
      </c>
      <c r="E9" s="17" t="s">
        <v>204</v>
      </c>
      <c r="F9" s="17" t="s">
        <v>93</v>
      </c>
      <c r="G9" s="17" t="s">
        <v>205</v>
      </c>
      <c r="H9" s="19" t="n">
        <v>27.9</v>
      </c>
      <c r="I9" s="17" t="s">
        <v>47</v>
      </c>
      <c r="J9" s="20" t="n">
        <f aca="false">IF(H9="","",H9*INDEX(FX!$B$5:$B$8,MATCH(I9,FX!$A$5:$A$8,0)))</f>
        <v>27.9</v>
      </c>
      <c r="K9" s="17" t="s">
        <v>206</v>
      </c>
      <c r="L9" s="21" t="n">
        <v>45642</v>
      </c>
      <c r="M9" s="22" t="n">
        <f aca="false">IF(L9="","",'Read me'!$B$3-L9)</f>
        <v>658</v>
      </c>
      <c r="N9" s="23" t="n">
        <v>1250</v>
      </c>
      <c r="O9" s="23" t="n">
        <v>182</v>
      </c>
      <c r="P9" s="21" t="n">
        <v>46154</v>
      </c>
      <c r="Q9" s="22" t="n">
        <f aca="false">IF(P9="","",'Read me'!$B$3-P9)</f>
        <v>146</v>
      </c>
      <c r="R9" s="17"/>
    </row>
    <row r="10" customFormat="false" ht="42" hidden="false" customHeight="true" outlineLevel="0" collapsed="false">
      <c r="A10" s="17" t="n">
        <v>6</v>
      </c>
      <c r="B10" s="17" t="s">
        <v>207</v>
      </c>
      <c r="C10" s="18" t="s">
        <v>208</v>
      </c>
      <c r="D10" s="18" t="s">
        <v>85</v>
      </c>
      <c r="E10" s="17" t="s">
        <v>209</v>
      </c>
      <c r="F10" s="17" t="s">
        <v>210</v>
      </c>
      <c r="G10" s="17" t="s">
        <v>211</v>
      </c>
      <c r="H10" s="19" t="n">
        <v>19.99</v>
      </c>
      <c r="I10" s="17" t="s">
        <v>47</v>
      </c>
      <c r="J10" s="20" t="n">
        <f aca="false">IF(H10="","",H10*INDEX(FX!$B$5:$B$8,MATCH(I10,FX!$A$5:$A$8,0)))</f>
        <v>19.99</v>
      </c>
      <c r="K10" s="17" t="s">
        <v>212</v>
      </c>
      <c r="L10" s="21" t="n">
        <v>45580</v>
      </c>
      <c r="M10" s="22" t="n">
        <f aca="false">IF(L10="","",'Read me'!$B$3-L10)</f>
        <v>720</v>
      </c>
      <c r="N10" s="23" t="n">
        <v>922</v>
      </c>
      <c r="O10" s="23" t="n">
        <v>78</v>
      </c>
      <c r="P10" s="21" t="n">
        <v>46090</v>
      </c>
      <c r="Q10" s="22" t="n">
        <f aca="false">IF(P10="","",'Read me'!$B$3-P10)</f>
        <v>210</v>
      </c>
      <c r="R10" s="17"/>
    </row>
    <row r="11" customFormat="false" ht="28.5" hidden="false" customHeight="true" outlineLevel="0" collapsed="false">
      <c r="A11" s="17" t="n">
        <v>7</v>
      </c>
      <c r="B11" s="17" t="s">
        <v>213</v>
      </c>
      <c r="C11" s="18" t="s">
        <v>214</v>
      </c>
      <c r="D11" s="18" t="s">
        <v>85</v>
      </c>
      <c r="E11" s="17" t="s">
        <v>215</v>
      </c>
      <c r="F11" s="17" t="s">
        <v>93</v>
      </c>
      <c r="G11" s="17" t="s">
        <v>216</v>
      </c>
      <c r="H11" s="19" t="n">
        <v>29.9</v>
      </c>
      <c r="I11" s="17" t="s">
        <v>47</v>
      </c>
      <c r="J11" s="20" t="n">
        <f aca="false">IF(H11="","",H11*INDEX(FX!$B$5:$B$8,MATCH(I11,FX!$A$5:$A$8,0)))</f>
        <v>29.9</v>
      </c>
      <c r="K11" s="17" t="s">
        <v>217</v>
      </c>
      <c r="L11" s="21" t="n">
        <v>46246</v>
      </c>
      <c r="M11" s="22" t="n">
        <f aca="false">IF(L11="","",'Read me'!$B$3-L11)</f>
        <v>54</v>
      </c>
      <c r="N11" s="23" t="n">
        <v>197</v>
      </c>
      <c r="O11" s="23" t="n">
        <v>146</v>
      </c>
      <c r="P11" s="21" t="n">
        <v>46271</v>
      </c>
      <c r="Q11" s="22" t="n">
        <f aca="false">IF(P11="","",'Read me'!$B$3-P11)</f>
        <v>29</v>
      </c>
      <c r="R11" s="17"/>
    </row>
    <row r="12" customFormat="false" ht="28.5" hidden="false" customHeight="true" outlineLevel="0" collapsed="false">
      <c r="A12" s="17" t="n">
        <v>8</v>
      </c>
      <c r="B12" s="17" t="s">
        <v>218</v>
      </c>
      <c r="C12" s="18" t="s">
        <v>219</v>
      </c>
      <c r="D12" s="18" t="s">
        <v>85</v>
      </c>
      <c r="E12" s="17" t="s">
        <v>220</v>
      </c>
      <c r="F12" s="17" t="s">
        <v>175</v>
      </c>
      <c r="G12" s="17" t="s">
        <v>221</v>
      </c>
      <c r="H12" s="19" t="n">
        <v>6.55</v>
      </c>
      <c r="I12" s="17" t="s">
        <v>47</v>
      </c>
      <c r="J12" s="20" t="n">
        <f aca="false">IF(H12="","",H12*INDEX(FX!$B$5:$B$8,MATCH(I12,FX!$A$5:$A$8,0)))</f>
        <v>6.55</v>
      </c>
      <c r="K12" s="17" t="s">
        <v>222</v>
      </c>
      <c r="L12" s="21" t="n">
        <v>45847</v>
      </c>
      <c r="M12" s="22" t="n">
        <f aca="false">IF(L12="","",'Read me'!$B$3-L12)</f>
        <v>453</v>
      </c>
      <c r="N12" s="23" t="n">
        <v>54</v>
      </c>
      <c r="O12" s="23" t="n">
        <v>35</v>
      </c>
      <c r="P12" s="21" t="n">
        <v>45847</v>
      </c>
      <c r="Q12" s="22" t="n">
        <f aca="false">IF(P12="","",'Read me'!$B$3-P12)</f>
        <v>453</v>
      </c>
      <c r="R12" s="17" t="s">
        <v>223</v>
      </c>
    </row>
    <row r="13" customFormat="false" ht="28.5" hidden="false" customHeight="true" outlineLevel="0" collapsed="false">
      <c r="A13" s="17" t="n">
        <v>9</v>
      </c>
      <c r="B13" s="17" t="s">
        <v>224</v>
      </c>
      <c r="C13" s="18" t="s">
        <v>225</v>
      </c>
      <c r="D13" s="18" t="s">
        <v>85</v>
      </c>
      <c r="E13" s="17" t="s">
        <v>226</v>
      </c>
      <c r="F13" s="17" t="s">
        <v>183</v>
      </c>
      <c r="G13" s="17" t="s">
        <v>227</v>
      </c>
      <c r="H13" s="19" t="n">
        <v>12.9</v>
      </c>
      <c r="I13" s="17" t="s">
        <v>47</v>
      </c>
      <c r="J13" s="20" t="n">
        <f aca="false">IF(H13="","",H13*INDEX(FX!$B$5:$B$8,MATCH(I13,FX!$A$5:$A$8,0)))</f>
        <v>12.9</v>
      </c>
      <c r="K13" s="17" t="s">
        <v>228</v>
      </c>
      <c r="L13" s="21" t="n">
        <v>45480</v>
      </c>
      <c r="M13" s="22" t="n">
        <f aca="false">IF(L13="","",'Read me'!$B$3-L13)</f>
        <v>820</v>
      </c>
      <c r="N13" s="23" t="n">
        <v>46</v>
      </c>
      <c r="O13" s="23" t="n">
        <v>17</v>
      </c>
      <c r="P13" s="21" t="n">
        <v>46121</v>
      </c>
      <c r="Q13" s="22" t="n">
        <f aca="false">IF(P13="","",'Read me'!$B$3-P13)</f>
        <v>179</v>
      </c>
      <c r="R13" s="17"/>
    </row>
  </sheetData>
  <hyperlinks>
    <hyperlink ref="C5" r:id="rId1" display="https://www.sensilab.it"/>
    <hyperlink ref="D5" r:id="rId2" display="Open Ad Library"/>
    <hyperlink ref="C6" r:id="rId3" display="https://www.n2naturalnutrition.it"/>
    <hyperlink ref="D6" r:id="rId4" display="Open Ad Library"/>
    <hyperlink ref="C7" r:id="rId5" display="https://avanellelab.com"/>
    <hyperlink ref="D7" r:id="rId6" display="Open Ad Library"/>
    <hyperlink ref="C8" r:id="rId7" display="https://www.frenchmush.com/it"/>
    <hyperlink ref="D8" r:id="rId8" display="Open Ad Library"/>
    <hyperlink ref="C9" r:id="rId9" display="https://www.bears-with-benefits.it"/>
    <hyperlink ref="D9" r:id="rId10" display="Open Ad Library"/>
    <hyperlink ref="C10" r:id="rId11" display="https://www.vitastrong.it"/>
    <hyperlink ref="D10" r:id="rId12" display="Open Ad Library"/>
    <hyperlink ref="C11" r:id="rId13" display="https://nutri-sonno.com"/>
    <hyperlink ref="D11" r:id="rId14" display="Open Ad Library"/>
    <hyperlink ref="C12" r:id="rId15" display="https://www.zymerex.it"/>
    <hyperlink ref="D12" r:id="rId16" display="Open Ad Library"/>
    <hyperlink ref="C13" r:id="rId17" display="https://www.prinfit.com"/>
    <hyperlink ref="D13" r:id="rId18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229</v>
      </c>
    </row>
    <row r="2" customFormat="false" ht="15" hidden="false" customHeight="false" outlineLevel="0" collapsed="false">
      <c r="A2" s="16" t="s">
        <v>70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28.5" hidden="false" customHeight="true" outlineLevel="0" collapsed="false">
      <c r="A5" s="17" t="n">
        <v>1</v>
      </c>
      <c r="B5" s="17" t="s">
        <v>230</v>
      </c>
      <c r="C5" s="18" t="s">
        <v>231</v>
      </c>
      <c r="D5" s="18" t="s">
        <v>85</v>
      </c>
      <c r="E5" s="17" t="s">
        <v>232</v>
      </c>
      <c r="F5" s="17" t="s">
        <v>233</v>
      </c>
      <c r="G5" s="17"/>
      <c r="H5" s="19"/>
      <c r="I5" s="17" t="s">
        <v>47</v>
      </c>
      <c r="J5" s="20" t="str">
        <f aca="false">IF(H5="","",H5*INDEX(FX!$B$5:$B$8,MATCH(I5,FX!$A$5:$A$8,0)))</f>
        <v/>
      </c>
      <c r="K5" s="17" t="s">
        <v>234</v>
      </c>
      <c r="L5" s="21" t="n">
        <v>45749</v>
      </c>
      <c r="M5" s="22" t="n">
        <f aca="false">IF(L5="","",'Read me'!$B$3-L5)</f>
        <v>551</v>
      </c>
      <c r="N5" s="23" t="n">
        <v>3065</v>
      </c>
      <c r="O5" s="23" t="n">
        <v>269</v>
      </c>
      <c r="P5" s="21" t="n">
        <v>46069</v>
      </c>
      <c r="Q5" s="22" t="n">
        <f aca="false">IF(P5="","",'Read me'!$B$3-P5)</f>
        <v>231</v>
      </c>
      <c r="R5" s="17"/>
    </row>
    <row r="6" customFormat="false" ht="28.5" hidden="false" customHeight="true" outlineLevel="0" collapsed="false">
      <c r="A6" s="17" t="n">
        <v>2</v>
      </c>
      <c r="B6" s="17" t="s">
        <v>96</v>
      </c>
      <c r="C6" s="18" t="s">
        <v>97</v>
      </c>
      <c r="D6" s="18" t="s">
        <v>85</v>
      </c>
      <c r="E6" s="17" t="s">
        <v>98</v>
      </c>
      <c r="F6" s="17" t="s">
        <v>93</v>
      </c>
      <c r="G6" s="17" t="s">
        <v>99</v>
      </c>
      <c r="H6" s="19" t="n">
        <v>34</v>
      </c>
      <c r="I6" s="17" t="s">
        <v>47</v>
      </c>
      <c r="J6" s="20" t="n">
        <f aca="false">IF(H6="","",H6*INDEX(FX!$B$5:$B$8,MATCH(I6,FX!$A$5:$A$8,0)))</f>
        <v>34</v>
      </c>
      <c r="K6" s="17" t="s">
        <v>100</v>
      </c>
      <c r="L6" s="21" t="n">
        <v>45759</v>
      </c>
      <c r="M6" s="22" t="n">
        <f aca="false">IF(L6="","",'Read me'!$B$3-L6)</f>
        <v>541</v>
      </c>
      <c r="N6" s="23" t="n">
        <v>2555</v>
      </c>
      <c r="O6" s="23" t="n">
        <v>269</v>
      </c>
      <c r="P6" s="21" t="n">
        <v>46125</v>
      </c>
      <c r="Q6" s="22" t="n">
        <f aca="false">IF(P6="","",'Read me'!$B$3-P6)</f>
        <v>175</v>
      </c>
      <c r="R6" s="17" t="s">
        <v>235</v>
      </c>
    </row>
    <row r="7" customFormat="false" ht="28.5" hidden="false" customHeight="true" outlineLevel="0" collapsed="false">
      <c r="A7" s="17" t="n">
        <v>3</v>
      </c>
      <c r="B7" s="17" t="s">
        <v>102</v>
      </c>
      <c r="C7" s="18" t="s">
        <v>103</v>
      </c>
      <c r="D7" s="18" t="s">
        <v>85</v>
      </c>
      <c r="E7" s="17" t="s">
        <v>236</v>
      </c>
      <c r="F7" s="17" t="s">
        <v>93</v>
      </c>
      <c r="G7" s="17" t="s">
        <v>237</v>
      </c>
      <c r="H7" s="19" t="n">
        <v>59.9</v>
      </c>
      <c r="I7" s="17" t="s">
        <v>47</v>
      </c>
      <c r="J7" s="20" t="n">
        <f aca="false">IF(H7="","",H7*INDEX(FX!$B$5:$B$8,MATCH(I7,FX!$A$5:$A$8,0)))</f>
        <v>59.9</v>
      </c>
      <c r="K7" s="17" t="s">
        <v>238</v>
      </c>
      <c r="L7" s="21" t="n">
        <v>45162</v>
      </c>
      <c r="M7" s="22" t="n">
        <f aca="false">IF(L7="","",'Read me'!$B$3-L7)</f>
        <v>1138</v>
      </c>
      <c r="N7" s="23" t="n">
        <v>2550</v>
      </c>
      <c r="O7" s="23" t="n">
        <v>317</v>
      </c>
      <c r="P7" s="21" t="n">
        <v>45917</v>
      </c>
      <c r="Q7" s="22" t="n">
        <f aca="false">IF(P7="","",'Read me'!$B$3-P7)</f>
        <v>383</v>
      </c>
      <c r="R7" s="17" t="s">
        <v>235</v>
      </c>
    </row>
    <row r="8" customFormat="false" ht="28.5" hidden="false" customHeight="true" outlineLevel="0" collapsed="false">
      <c r="A8" s="17" t="n">
        <v>4</v>
      </c>
      <c r="B8" s="17" t="s">
        <v>239</v>
      </c>
      <c r="C8" s="18" t="s">
        <v>240</v>
      </c>
      <c r="D8" s="18" t="s">
        <v>85</v>
      </c>
      <c r="E8" s="17" t="s">
        <v>241</v>
      </c>
      <c r="F8" s="17" t="s">
        <v>233</v>
      </c>
      <c r="G8" s="17" t="s">
        <v>242</v>
      </c>
      <c r="H8" s="19" t="n">
        <v>14.89</v>
      </c>
      <c r="I8" s="17" t="s">
        <v>47</v>
      </c>
      <c r="J8" s="20" t="n">
        <f aca="false">IF(H8="","",H8*INDEX(FX!$B$5:$B$8,MATCH(I8,FX!$A$5:$A$8,0)))</f>
        <v>14.89</v>
      </c>
      <c r="K8" s="17" t="s">
        <v>243</v>
      </c>
      <c r="L8" s="21" t="n">
        <v>45036</v>
      </c>
      <c r="M8" s="22" t="n">
        <f aca="false">IF(L8="","",'Read me'!$B$3-L8)</f>
        <v>1264</v>
      </c>
      <c r="N8" s="23" t="n">
        <v>919</v>
      </c>
      <c r="O8" s="23" t="n">
        <v>171</v>
      </c>
      <c r="P8" s="21" t="n">
        <v>45726</v>
      </c>
      <c r="Q8" s="22" t="n">
        <f aca="false">IF(P8="","",'Read me'!$B$3-P8)</f>
        <v>574</v>
      </c>
      <c r="R8" s="17"/>
    </row>
    <row r="9" customFormat="false" ht="28.5" hidden="false" customHeight="true" outlineLevel="0" collapsed="false">
      <c r="A9" s="17" t="n">
        <v>5</v>
      </c>
      <c r="B9" s="17" t="s">
        <v>244</v>
      </c>
      <c r="C9" s="18" t="s">
        <v>245</v>
      </c>
      <c r="D9" s="18" t="s">
        <v>85</v>
      </c>
      <c r="E9" s="17" t="s">
        <v>246</v>
      </c>
      <c r="F9" s="17" t="s">
        <v>93</v>
      </c>
      <c r="G9" s="17" t="s">
        <v>247</v>
      </c>
      <c r="H9" s="19" t="n">
        <v>34.99</v>
      </c>
      <c r="I9" s="17" t="s">
        <v>47</v>
      </c>
      <c r="J9" s="20" t="n">
        <f aca="false">IF(H9="","",H9*INDEX(FX!$B$5:$B$8,MATCH(I9,FX!$A$5:$A$8,0)))</f>
        <v>34.99</v>
      </c>
      <c r="K9" s="17" t="s">
        <v>248</v>
      </c>
      <c r="L9" s="21" t="n">
        <v>46062</v>
      </c>
      <c r="M9" s="22" t="n">
        <f aca="false">IF(L9="","",'Read me'!$B$3-L9)</f>
        <v>238</v>
      </c>
      <c r="N9" s="23" t="n">
        <v>842</v>
      </c>
      <c r="O9" s="23" t="n">
        <v>127</v>
      </c>
      <c r="P9" s="21" t="n">
        <v>46220</v>
      </c>
      <c r="Q9" s="22" t="n">
        <f aca="false">IF(P9="","",'Read me'!$B$3-P9)</f>
        <v>80</v>
      </c>
      <c r="R9" s="17" t="s">
        <v>249</v>
      </c>
    </row>
    <row r="10" customFormat="false" ht="28.5" hidden="false" customHeight="true" outlineLevel="0" collapsed="false">
      <c r="A10" s="17" t="n">
        <v>6</v>
      </c>
      <c r="B10" s="17" t="s">
        <v>250</v>
      </c>
      <c r="C10" s="18" t="s">
        <v>251</v>
      </c>
      <c r="D10" s="18" t="s">
        <v>85</v>
      </c>
      <c r="E10" s="17" t="s">
        <v>252</v>
      </c>
      <c r="F10" s="17" t="s">
        <v>93</v>
      </c>
      <c r="G10" s="17" t="s">
        <v>253</v>
      </c>
      <c r="H10" s="19" t="n">
        <v>27.9</v>
      </c>
      <c r="I10" s="17" t="s">
        <v>47</v>
      </c>
      <c r="J10" s="20" t="n">
        <f aca="false">IF(H10="","",H10*INDEX(FX!$B$5:$B$8,MATCH(I10,FX!$A$5:$A$8,0)))</f>
        <v>27.9</v>
      </c>
      <c r="K10" s="17" t="s">
        <v>254</v>
      </c>
      <c r="L10" s="21" t="n">
        <v>45642</v>
      </c>
      <c r="M10" s="22" t="n">
        <f aca="false">IF(L10="","",'Read me'!$B$3-L10)</f>
        <v>658</v>
      </c>
      <c r="N10" s="23" t="n">
        <v>402</v>
      </c>
      <c r="O10" s="23" t="n">
        <v>65</v>
      </c>
      <c r="P10" s="21" t="n">
        <v>46190</v>
      </c>
      <c r="Q10" s="22" t="n">
        <f aca="false">IF(P10="","",'Read me'!$B$3-P10)</f>
        <v>110</v>
      </c>
      <c r="R10" s="17" t="s">
        <v>255</v>
      </c>
    </row>
    <row r="11" customFormat="false" ht="42" hidden="false" customHeight="true" outlineLevel="0" collapsed="false">
      <c r="A11" s="17" t="n">
        <v>7</v>
      </c>
      <c r="B11" s="17" t="s">
        <v>256</v>
      </c>
      <c r="C11" s="18" t="s">
        <v>257</v>
      </c>
      <c r="D11" s="18" t="s">
        <v>85</v>
      </c>
      <c r="E11" s="17" t="s">
        <v>258</v>
      </c>
      <c r="F11" s="17" t="s">
        <v>111</v>
      </c>
      <c r="G11" s="17" t="s">
        <v>259</v>
      </c>
      <c r="H11" s="19" t="n">
        <v>44.95</v>
      </c>
      <c r="I11" s="17" t="s">
        <v>47</v>
      </c>
      <c r="J11" s="20" t="n">
        <f aca="false">IF(H11="","",H11*INDEX(FX!$B$5:$B$8,MATCH(I11,FX!$A$5:$A$8,0)))</f>
        <v>44.95</v>
      </c>
      <c r="K11" s="17" t="s">
        <v>260</v>
      </c>
      <c r="L11" s="21" t="n">
        <v>46238</v>
      </c>
      <c r="M11" s="22" t="n">
        <f aca="false">IF(L11="","",'Read me'!$B$3-L11)</f>
        <v>62</v>
      </c>
      <c r="N11" s="23" t="n">
        <v>98</v>
      </c>
      <c r="O11" s="23" t="n">
        <v>82</v>
      </c>
      <c r="P11" s="21" t="n">
        <v>46262</v>
      </c>
      <c r="Q11" s="22" t="n">
        <f aca="false">IF(P11="","",'Read me'!$B$3-P11)</f>
        <v>38</v>
      </c>
      <c r="R11" s="17"/>
    </row>
    <row r="12" customFormat="false" ht="28.5" hidden="false" customHeight="true" outlineLevel="0" collapsed="false">
      <c r="A12" s="17" t="n">
        <v>8</v>
      </c>
      <c r="B12" s="17" t="s">
        <v>261</v>
      </c>
      <c r="C12" s="18" t="s">
        <v>262</v>
      </c>
      <c r="D12" s="18" t="s">
        <v>85</v>
      </c>
      <c r="E12" s="17" t="s">
        <v>263</v>
      </c>
      <c r="F12" s="17" t="s">
        <v>111</v>
      </c>
      <c r="G12" s="17" t="s">
        <v>264</v>
      </c>
      <c r="H12" s="19" t="n">
        <v>34.7</v>
      </c>
      <c r="I12" s="17" t="s">
        <v>47</v>
      </c>
      <c r="J12" s="20" t="n">
        <f aca="false">IF(H12="","",H12*INDEX(FX!$B$5:$B$8,MATCH(I12,FX!$A$5:$A$8,0)))</f>
        <v>34.7</v>
      </c>
      <c r="K12" s="17" t="s">
        <v>265</v>
      </c>
      <c r="L12" s="21" t="n">
        <v>46001</v>
      </c>
      <c r="M12" s="22" t="n">
        <f aca="false">IF(L12="","",'Read me'!$B$3-L12)</f>
        <v>299</v>
      </c>
      <c r="N12" s="23" t="n">
        <v>12</v>
      </c>
      <c r="O12" s="23" t="n">
        <v>5</v>
      </c>
      <c r="P12" s="21" t="n">
        <v>46170</v>
      </c>
      <c r="Q12" s="22" t="n">
        <f aca="false">IF(P12="","",'Read me'!$B$3-P12)</f>
        <v>130</v>
      </c>
      <c r="R12" s="17"/>
    </row>
  </sheetData>
  <hyperlinks>
    <hyperlink ref="C5" r:id="rId1" display="https://www.kruidvat.be"/>
    <hyperlink ref="D5" r:id="rId2" display="Open Ad Library"/>
    <hyperlink ref="C6" r:id="rId3" display="https://harmova.com"/>
    <hyperlink ref="D6" r:id="rId4" display="Open Ad Library"/>
    <hyperlink ref="C7" r:id="rId5" display="https://www.lashilebeauty.com"/>
    <hyperlink ref="D7" r:id="rId6" display="Open Ad Library"/>
    <hyperlink ref="C8" r:id="rId7" display="https://www.farmaline.be"/>
    <hyperlink ref="D8" r:id="rId8" display="Open Ad Library"/>
    <hyperlink ref="C9" r:id="rId9" display="https://alphavit-officiel.com"/>
    <hyperlink ref="D9" r:id="rId10" display="Open Ad Library"/>
    <hyperlink ref="C10" r:id="rId11" display="https://www.bears-with-benefits.nl"/>
    <hyperlink ref="D10" r:id="rId12" display="Open Ad Library"/>
    <hyperlink ref="C11" r:id="rId13" display="https://www.santurel.net"/>
    <hyperlink ref="D11" r:id="rId14" display="Open Ad Library"/>
    <hyperlink ref="C12" r:id="rId15" display="https://www.decola.be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266</v>
      </c>
    </row>
    <row r="2" customFormat="false" ht="15" hidden="false" customHeight="false" outlineLevel="0" collapsed="false">
      <c r="A2" s="16" t="s">
        <v>179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28.5" hidden="false" customHeight="true" outlineLevel="0" collapsed="false">
      <c r="A5" s="17" t="n">
        <v>1</v>
      </c>
      <c r="B5" s="17" t="s">
        <v>267</v>
      </c>
      <c r="C5" s="18" t="s">
        <v>268</v>
      </c>
      <c r="D5" s="18" t="s">
        <v>85</v>
      </c>
      <c r="E5" s="17" t="s">
        <v>269</v>
      </c>
      <c r="F5" s="17" t="s">
        <v>270</v>
      </c>
      <c r="G5" s="17" t="s">
        <v>271</v>
      </c>
      <c r="H5" s="19" t="n">
        <v>21.99</v>
      </c>
      <c r="I5" s="17" t="s">
        <v>47</v>
      </c>
      <c r="J5" s="20" t="n">
        <f aca="false">IF(H5="","",H5*INDEX(FX!$B$5:$B$8,MATCH(I5,FX!$A$5:$A$8,0)))</f>
        <v>21.99</v>
      </c>
      <c r="K5" s="17" t="s">
        <v>272</v>
      </c>
      <c r="L5" s="21" t="n">
        <v>45457</v>
      </c>
      <c r="M5" s="22" t="n">
        <f aca="false">IF(L5="","",'Read me'!$B$3-L5)</f>
        <v>843</v>
      </c>
      <c r="N5" s="23" t="n">
        <v>3898</v>
      </c>
      <c r="O5" s="23" t="n">
        <v>171</v>
      </c>
      <c r="P5" s="21" t="n">
        <v>46080</v>
      </c>
      <c r="Q5" s="22" t="n">
        <f aca="false">IF(P5="","",'Read me'!$B$3-P5)</f>
        <v>220</v>
      </c>
      <c r="R5" s="17"/>
    </row>
    <row r="6" customFormat="false" ht="28.5" hidden="false" customHeight="true" outlineLevel="0" collapsed="false">
      <c r="A6" s="17" t="n">
        <v>2</v>
      </c>
      <c r="B6" s="17" t="s">
        <v>273</v>
      </c>
      <c r="C6" s="18" t="s">
        <v>274</v>
      </c>
      <c r="D6" s="18" t="s">
        <v>85</v>
      </c>
      <c r="E6" s="17" t="s">
        <v>133</v>
      </c>
      <c r="F6" s="17" t="s">
        <v>134</v>
      </c>
      <c r="G6" s="17" t="s">
        <v>275</v>
      </c>
      <c r="H6" s="19" t="n">
        <v>24.99</v>
      </c>
      <c r="I6" s="17" t="s">
        <v>47</v>
      </c>
      <c r="J6" s="20" t="n">
        <f aca="false">IF(H6="","",H6*INDEX(FX!$B$5:$B$8,MATCH(I6,FX!$A$5:$A$8,0)))</f>
        <v>24.99</v>
      </c>
      <c r="K6" s="17" t="s">
        <v>276</v>
      </c>
      <c r="L6" s="21" t="n">
        <v>45895</v>
      </c>
      <c r="M6" s="22" t="n">
        <f aca="false">IF(L6="","",'Read me'!$B$3-L6)</f>
        <v>405</v>
      </c>
      <c r="N6" s="23" t="n">
        <v>2585</v>
      </c>
      <c r="O6" s="23" t="n">
        <v>290</v>
      </c>
      <c r="P6" s="21" t="n">
        <v>46099</v>
      </c>
      <c r="Q6" s="22" t="n">
        <f aca="false">IF(P6="","",'Read me'!$B$3-P6)</f>
        <v>201</v>
      </c>
      <c r="R6" s="17" t="s">
        <v>137</v>
      </c>
    </row>
    <row r="7" customFormat="false" ht="28.5" hidden="false" customHeight="true" outlineLevel="0" collapsed="false">
      <c r="A7" s="17" t="n">
        <v>3</v>
      </c>
      <c r="B7" s="17" t="s">
        <v>277</v>
      </c>
      <c r="C7" s="18" t="s">
        <v>278</v>
      </c>
      <c r="D7" s="18" t="s">
        <v>85</v>
      </c>
      <c r="E7" s="17" t="s">
        <v>279</v>
      </c>
      <c r="F7" s="17" t="s">
        <v>280</v>
      </c>
      <c r="G7" s="17"/>
      <c r="H7" s="19"/>
      <c r="I7" s="17" t="s">
        <v>47</v>
      </c>
      <c r="J7" s="20" t="str">
        <f aca="false">IF(H7="","",H7*INDEX(FX!$B$5:$B$8,MATCH(I7,FX!$A$5:$A$8,0)))</f>
        <v/>
      </c>
      <c r="K7" s="17" t="s">
        <v>281</v>
      </c>
      <c r="L7" s="21" t="n">
        <v>45755</v>
      </c>
      <c r="M7" s="22" t="n">
        <f aca="false">IF(L7="","",'Read me'!$B$3-L7)</f>
        <v>545</v>
      </c>
      <c r="N7" s="23" t="n">
        <v>2316</v>
      </c>
      <c r="O7" s="23" t="n">
        <v>1240</v>
      </c>
      <c r="P7" s="21" t="n">
        <v>45974</v>
      </c>
      <c r="Q7" s="22" t="n">
        <f aca="false">IF(P7="","",'Read me'!$B$3-P7)</f>
        <v>326</v>
      </c>
      <c r="R7" s="17" t="s">
        <v>282</v>
      </c>
    </row>
    <row r="8" customFormat="false" ht="28.5" hidden="false" customHeight="true" outlineLevel="0" collapsed="false">
      <c r="A8" s="17" t="n">
        <v>4</v>
      </c>
      <c r="B8" s="17" t="s">
        <v>283</v>
      </c>
      <c r="C8" s="18" t="s">
        <v>284</v>
      </c>
      <c r="D8" s="18" t="s">
        <v>85</v>
      </c>
      <c r="E8" s="17" t="s">
        <v>285</v>
      </c>
      <c r="F8" s="17" t="s">
        <v>286</v>
      </c>
      <c r="G8" s="17" t="s">
        <v>287</v>
      </c>
      <c r="H8" s="19" t="n">
        <v>74.9</v>
      </c>
      <c r="I8" s="17" t="s">
        <v>47</v>
      </c>
      <c r="J8" s="20" t="n">
        <f aca="false">IF(H8="","",H8*INDEX(FX!$B$5:$B$8,MATCH(I8,FX!$A$5:$A$8,0)))</f>
        <v>74.9</v>
      </c>
      <c r="K8" s="17" t="s">
        <v>288</v>
      </c>
      <c r="L8" s="21" t="n">
        <v>45616</v>
      </c>
      <c r="M8" s="22" t="n">
        <f aca="false">IF(L8="","",'Read me'!$B$3-L8)</f>
        <v>684</v>
      </c>
      <c r="N8" s="23" t="n">
        <v>1999</v>
      </c>
      <c r="O8" s="23" t="n">
        <v>224</v>
      </c>
      <c r="P8" s="21" t="n">
        <v>46132</v>
      </c>
      <c r="Q8" s="22" t="n">
        <f aca="false">IF(P8="","",'Read me'!$B$3-P8)</f>
        <v>168</v>
      </c>
      <c r="R8" s="17"/>
    </row>
    <row r="9" customFormat="false" ht="28.5" hidden="false" customHeight="true" outlineLevel="0" collapsed="false">
      <c r="A9" s="17" t="n">
        <v>5</v>
      </c>
      <c r="B9" s="17" t="s">
        <v>289</v>
      </c>
      <c r="C9" s="18" t="s">
        <v>290</v>
      </c>
      <c r="D9" s="18" t="s">
        <v>85</v>
      </c>
      <c r="E9" s="17" t="s">
        <v>291</v>
      </c>
      <c r="F9" s="17" t="s">
        <v>292</v>
      </c>
      <c r="G9" s="17" t="s">
        <v>293</v>
      </c>
      <c r="H9" s="19" t="n">
        <v>18.95</v>
      </c>
      <c r="I9" s="17" t="s">
        <v>47</v>
      </c>
      <c r="J9" s="20" t="n">
        <f aca="false">IF(H9="","",H9*INDEX(FX!$B$5:$B$8,MATCH(I9,FX!$A$5:$A$8,0)))</f>
        <v>18.95</v>
      </c>
      <c r="K9" s="17" t="s">
        <v>294</v>
      </c>
      <c r="L9" s="21" t="n">
        <v>45889</v>
      </c>
      <c r="M9" s="22" t="n">
        <f aca="false">IF(L9="","",'Read me'!$B$3-L9)</f>
        <v>411</v>
      </c>
      <c r="N9" s="23" t="n">
        <v>1082</v>
      </c>
      <c r="O9" s="23" t="n">
        <v>80</v>
      </c>
      <c r="P9" s="21" t="n">
        <v>46246</v>
      </c>
      <c r="Q9" s="22" t="n">
        <f aca="false">IF(P9="","",'Read me'!$B$3-P9)</f>
        <v>54</v>
      </c>
      <c r="R9" s="17"/>
    </row>
    <row r="10" customFormat="false" ht="28.5" hidden="false" customHeight="true" outlineLevel="0" collapsed="false">
      <c r="A10" s="17" t="n">
        <v>6</v>
      </c>
      <c r="B10" s="17" t="s">
        <v>295</v>
      </c>
      <c r="C10" s="18" t="s">
        <v>296</v>
      </c>
      <c r="D10" s="18" t="s">
        <v>85</v>
      </c>
      <c r="E10" s="17" t="s">
        <v>297</v>
      </c>
      <c r="F10" s="17" t="s">
        <v>175</v>
      </c>
      <c r="G10" s="17" t="s">
        <v>298</v>
      </c>
      <c r="H10" s="19" t="n">
        <v>24.95</v>
      </c>
      <c r="I10" s="17" t="s">
        <v>47</v>
      </c>
      <c r="J10" s="20" t="n">
        <f aca="false">IF(H10="","",H10*INDEX(FX!$B$5:$B$8,MATCH(I10,FX!$A$5:$A$8,0)))</f>
        <v>24.95</v>
      </c>
      <c r="K10" s="17" t="s">
        <v>299</v>
      </c>
      <c r="L10" s="21" t="n">
        <v>45616</v>
      </c>
      <c r="M10" s="22" t="n">
        <f aca="false">IF(L10="","",'Read me'!$B$3-L10)</f>
        <v>684</v>
      </c>
      <c r="N10" s="23" t="n">
        <v>447</v>
      </c>
      <c r="O10" s="23" t="n">
        <v>11</v>
      </c>
      <c r="P10" s="21" t="n">
        <v>46188</v>
      </c>
      <c r="Q10" s="22" t="n">
        <f aca="false">IF(P10="","",'Read me'!$B$3-P10)</f>
        <v>112</v>
      </c>
      <c r="R10" s="17"/>
    </row>
    <row r="11" customFormat="false" ht="28.5" hidden="false" customHeight="true" outlineLevel="0" collapsed="false">
      <c r="A11" s="17" t="n">
        <v>7</v>
      </c>
      <c r="B11" s="17" t="s">
        <v>300</v>
      </c>
      <c r="C11" s="18" t="s">
        <v>251</v>
      </c>
      <c r="D11" s="18" t="s">
        <v>85</v>
      </c>
      <c r="E11" s="17" t="s">
        <v>252</v>
      </c>
      <c r="F11" s="17" t="s">
        <v>93</v>
      </c>
      <c r="G11" s="17" t="s">
        <v>253</v>
      </c>
      <c r="H11" s="19" t="n">
        <v>27.9</v>
      </c>
      <c r="I11" s="17" t="s">
        <v>47</v>
      </c>
      <c r="J11" s="20" t="n">
        <f aca="false">IF(H11="","",H11*INDEX(FX!$B$5:$B$8,MATCH(I11,FX!$A$5:$A$8,0)))</f>
        <v>27.9</v>
      </c>
      <c r="K11" s="17" t="s">
        <v>301</v>
      </c>
      <c r="L11" s="21" t="n">
        <v>45642</v>
      </c>
      <c r="M11" s="22" t="n">
        <f aca="false">IF(L11="","",'Read me'!$B$3-L11)</f>
        <v>658</v>
      </c>
      <c r="N11" s="23" t="n">
        <v>402</v>
      </c>
      <c r="O11" s="23" t="n">
        <v>65</v>
      </c>
      <c r="P11" s="21" t="n">
        <v>46190</v>
      </c>
      <c r="Q11" s="22" t="n">
        <f aca="false">IF(P11="","",'Read me'!$B$3-P11)</f>
        <v>110</v>
      </c>
      <c r="R11" s="17"/>
    </row>
    <row r="12" customFormat="false" ht="28.5" hidden="false" customHeight="true" outlineLevel="0" collapsed="false">
      <c r="A12" s="17" t="n">
        <v>8</v>
      </c>
      <c r="B12" s="17" t="s">
        <v>302</v>
      </c>
      <c r="C12" s="18" t="s">
        <v>303</v>
      </c>
      <c r="D12" s="18" t="s">
        <v>85</v>
      </c>
      <c r="E12" s="17" t="s">
        <v>304</v>
      </c>
      <c r="F12" s="17" t="s">
        <v>183</v>
      </c>
      <c r="G12" s="17"/>
      <c r="H12" s="19"/>
      <c r="I12" s="17" t="s">
        <v>47</v>
      </c>
      <c r="J12" s="20" t="str">
        <f aca="false">IF(H12="","",H12*INDEX(FX!$B$5:$B$8,MATCH(I12,FX!$A$5:$A$8,0)))</f>
        <v/>
      </c>
      <c r="K12" s="17" t="s">
        <v>305</v>
      </c>
      <c r="L12" s="21" t="n">
        <v>45293</v>
      </c>
      <c r="M12" s="22" t="n">
        <f aca="false">IF(L12="","",'Read me'!$B$3-L12)</f>
        <v>1007</v>
      </c>
      <c r="N12" s="23" t="n">
        <v>350</v>
      </c>
      <c r="O12" s="23" t="n">
        <v>47</v>
      </c>
      <c r="P12" s="21" t="n">
        <v>45372</v>
      </c>
      <c r="Q12" s="22" t="n">
        <f aca="false">IF(P12="","",'Read me'!$B$3-P12)</f>
        <v>928</v>
      </c>
      <c r="R12" s="17"/>
    </row>
    <row r="13" customFormat="false" ht="28.5" hidden="false" customHeight="true" outlineLevel="0" collapsed="false">
      <c r="A13" s="17" t="n">
        <v>9</v>
      </c>
      <c r="B13" s="17" t="s">
        <v>306</v>
      </c>
      <c r="C13" s="18" t="s">
        <v>307</v>
      </c>
      <c r="D13" s="18" t="s">
        <v>85</v>
      </c>
      <c r="E13" s="17" t="s">
        <v>308</v>
      </c>
      <c r="F13" s="17" t="s">
        <v>309</v>
      </c>
      <c r="G13" s="17" t="s">
        <v>310</v>
      </c>
      <c r="H13" s="19" t="n">
        <v>9.99</v>
      </c>
      <c r="I13" s="17" t="s">
        <v>47</v>
      </c>
      <c r="J13" s="20" t="n">
        <f aca="false">IF(H13="","",H13*INDEX(FX!$B$5:$B$8,MATCH(I13,FX!$A$5:$A$8,0)))</f>
        <v>9.99</v>
      </c>
      <c r="K13" s="17" t="s">
        <v>311</v>
      </c>
      <c r="L13" s="21" t="n">
        <v>45930</v>
      </c>
      <c r="M13" s="22" t="n">
        <f aca="false">IF(L13="","",'Read me'!$B$3-L13)</f>
        <v>370</v>
      </c>
      <c r="N13" s="23" t="n">
        <v>288</v>
      </c>
      <c r="O13" s="23" t="n">
        <v>42</v>
      </c>
      <c r="P13" s="21" t="n">
        <v>45930</v>
      </c>
      <c r="Q13" s="22" t="n">
        <f aca="false">IF(P13="","",'Read me'!$B$3-P13)</f>
        <v>370</v>
      </c>
      <c r="R13" s="17"/>
    </row>
  </sheetData>
  <hyperlinks>
    <hyperlink ref="C5" r:id="rId1" display="https://www.weightworld.nl"/>
    <hyperlink ref="D5" r:id="rId2" display="Open Ad Library"/>
    <hyperlink ref="C6" r:id="rId3" display="https://www.ahead-nutrition.com/nl-nl"/>
    <hyperlink ref="D6" r:id="rId4" display="Open Ad Library"/>
    <hyperlink ref="C7" r:id="rId5" display="https://hairlust.com"/>
    <hyperlink ref="D7" r:id="rId6" display="Open Ad Library"/>
    <hyperlink ref="C8" r:id="rId7" display="https://dailipharma.com"/>
    <hyperlink ref="D8" r:id="rId8" display="Open Ad Library"/>
    <hyperlink ref="C9" r:id="rId9" display="https://vitaminfit.com"/>
    <hyperlink ref="D9" r:id="rId10" display="Open Ad Library"/>
    <hyperlink ref="C10" r:id="rId11" display="https://strnordic.nl"/>
    <hyperlink ref="D10" r:id="rId12" display="Open Ad Library"/>
    <hyperlink ref="C11" r:id="rId13" display="https://www.bears-with-benefits.nl"/>
    <hyperlink ref="D11" r:id="rId14" display="Open Ad Library"/>
    <hyperlink ref="C12" r:id="rId15" display="https://www.puurmieke.nl"/>
    <hyperlink ref="D12" r:id="rId16" display="Open Ad Library"/>
    <hyperlink ref="C13" r:id="rId17" display="https://www.futunatura.nl"/>
    <hyperlink ref="D13" r:id="rId18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312</v>
      </c>
    </row>
    <row r="2" customFormat="false" ht="15" hidden="false" customHeight="false" outlineLevel="0" collapsed="false">
      <c r="A2" s="16" t="s">
        <v>179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28.5" hidden="false" customHeight="true" outlineLevel="0" collapsed="false">
      <c r="A5" s="17" t="n">
        <v>1</v>
      </c>
      <c r="B5" s="17" t="s">
        <v>313</v>
      </c>
      <c r="C5" s="18" t="s">
        <v>314</v>
      </c>
      <c r="D5" s="18" t="s">
        <v>85</v>
      </c>
      <c r="E5" s="17" t="s">
        <v>315</v>
      </c>
      <c r="F5" s="17" t="s">
        <v>270</v>
      </c>
      <c r="G5" s="17" t="s">
        <v>316</v>
      </c>
      <c r="H5" s="19" t="n">
        <v>17.57</v>
      </c>
      <c r="I5" s="17" t="s">
        <v>47</v>
      </c>
      <c r="J5" s="20" t="n">
        <f aca="false">IF(H5="","",H5*INDEX(FX!$B$5:$B$8,MATCH(I5,FX!$A$5:$A$8,0)))</f>
        <v>17.57</v>
      </c>
      <c r="K5" s="17" t="s">
        <v>317</v>
      </c>
      <c r="L5" s="21" t="n">
        <v>44008</v>
      </c>
      <c r="M5" s="22" t="n">
        <f aca="false">IF(L5="","",'Read me'!$B$3-L5)</f>
        <v>2292</v>
      </c>
      <c r="N5" s="23" t="n">
        <v>3421</v>
      </c>
      <c r="O5" s="23" t="n">
        <v>755</v>
      </c>
      <c r="P5" s="21" t="n">
        <v>46063</v>
      </c>
      <c r="Q5" s="22" t="n">
        <f aca="false">IF(P5="","",'Read me'!$B$3-P5)</f>
        <v>237</v>
      </c>
      <c r="R5" s="17"/>
    </row>
    <row r="6" customFormat="false" ht="28.5" hidden="false" customHeight="true" outlineLevel="0" collapsed="false">
      <c r="A6" s="17" t="n">
        <v>2</v>
      </c>
      <c r="B6" s="17" t="s">
        <v>318</v>
      </c>
      <c r="C6" s="18" t="s">
        <v>319</v>
      </c>
      <c r="D6" s="18" t="s">
        <v>85</v>
      </c>
      <c r="E6" s="17" t="s">
        <v>320</v>
      </c>
      <c r="F6" s="17" t="s">
        <v>93</v>
      </c>
      <c r="G6" s="17" t="s">
        <v>321</v>
      </c>
      <c r="H6" s="19" t="n">
        <v>35.7</v>
      </c>
      <c r="I6" s="17" t="s">
        <v>47</v>
      </c>
      <c r="J6" s="20" t="n">
        <f aca="false">IF(H6="","",H6*INDEX(FX!$B$5:$B$8,MATCH(I6,FX!$A$5:$A$8,0)))</f>
        <v>35.7</v>
      </c>
      <c r="K6" s="17" t="s">
        <v>322</v>
      </c>
      <c r="L6" s="21" t="n">
        <v>46058</v>
      </c>
      <c r="M6" s="22" t="n">
        <f aca="false">IF(L6="","",'Read me'!$B$3-L6)</f>
        <v>242</v>
      </c>
      <c r="N6" s="23" t="n">
        <v>1513</v>
      </c>
      <c r="O6" s="23" t="n">
        <v>309</v>
      </c>
      <c r="P6" s="21" t="n">
        <v>46148</v>
      </c>
      <c r="Q6" s="22" t="n">
        <f aca="false">IF(P6="","",'Read me'!$B$3-P6)</f>
        <v>152</v>
      </c>
      <c r="R6" s="17"/>
    </row>
    <row r="7" customFormat="false" ht="28.5" hidden="false" customHeight="true" outlineLevel="0" collapsed="false">
      <c r="A7" s="17" t="n">
        <v>3</v>
      </c>
      <c r="B7" s="17" t="s">
        <v>323</v>
      </c>
      <c r="C7" s="18" t="s">
        <v>324</v>
      </c>
      <c r="D7" s="18" t="s">
        <v>85</v>
      </c>
      <c r="E7" s="17" t="s">
        <v>325</v>
      </c>
      <c r="F7" s="17" t="s">
        <v>175</v>
      </c>
      <c r="G7" s="17"/>
      <c r="H7" s="19"/>
      <c r="I7" s="17" t="s">
        <v>47</v>
      </c>
      <c r="J7" s="20" t="str">
        <f aca="false">IF(H7="","",H7*INDEX(FX!$B$5:$B$8,MATCH(I7,FX!$A$5:$A$8,0)))</f>
        <v/>
      </c>
      <c r="K7" s="17"/>
      <c r="L7" s="21" t="n">
        <v>45714</v>
      </c>
      <c r="M7" s="22" t="n">
        <f aca="false">IF(L7="","",'Read me'!$B$3-L7)</f>
        <v>586</v>
      </c>
      <c r="N7" s="23" t="n">
        <v>1053</v>
      </c>
      <c r="O7" s="23" t="n">
        <v>86</v>
      </c>
      <c r="P7" s="21" t="n">
        <v>46111</v>
      </c>
      <c r="Q7" s="22" t="n">
        <f aca="false">IF(P7="","",'Read me'!$B$3-P7)</f>
        <v>189</v>
      </c>
      <c r="R7" s="17" t="s">
        <v>326</v>
      </c>
    </row>
    <row r="8" customFormat="false" ht="28.5" hidden="false" customHeight="true" outlineLevel="0" collapsed="false">
      <c r="A8" s="17" t="n">
        <v>4</v>
      </c>
      <c r="B8" s="17" t="s">
        <v>327</v>
      </c>
      <c r="C8" s="18" t="s">
        <v>328</v>
      </c>
      <c r="D8" s="18" t="s">
        <v>85</v>
      </c>
      <c r="E8" s="17" t="s">
        <v>252</v>
      </c>
      <c r="F8" s="17" t="s">
        <v>93</v>
      </c>
      <c r="G8" s="17" t="s">
        <v>329</v>
      </c>
      <c r="H8" s="19" t="n">
        <v>22.9</v>
      </c>
      <c r="I8" s="17" t="s">
        <v>47</v>
      </c>
      <c r="J8" s="20" t="n">
        <f aca="false">IF(H8="","",H8*INDEX(FX!$B$5:$B$8,MATCH(I8,FX!$A$5:$A$8,0)))</f>
        <v>22.9</v>
      </c>
      <c r="K8" s="17" t="s">
        <v>330</v>
      </c>
      <c r="L8" s="21" t="n">
        <v>45642</v>
      </c>
      <c r="M8" s="22" t="n">
        <f aca="false">IF(L8="","",'Read me'!$B$3-L8)</f>
        <v>658</v>
      </c>
      <c r="N8" s="23" t="n">
        <v>737</v>
      </c>
      <c r="O8" s="23" t="n">
        <v>42</v>
      </c>
      <c r="P8" s="21" t="n">
        <v>46175</v>
      </c>
      <c r="Q8" s="22" t="n">
        <f aca="false">IF(P8="","",'Read me'!$B$3-P8)</f>
        <v>125</v>
      </c>
      <c r="R8" s="17"/>
    </row>
    <row r="9" customFormat="false" ht="28.5" hidden="false" customHeight="true" outlineLevel="0" collapsed="false">
      <c r="A9" s="17" t="n">
        <v>5</v>
      </c>
      <c r="B9" s="17" t="s">
        <v>331</v>
      </c>
      <c r="C9" s="18" t="s">
        <v>332</v>
      </c>
      <c r="D9" s="18" t="s">
        <v>85</v>
      </c>
      <c r="E9" s="17" t="s">
        <v>333</v>
      </c>
      <c r="F9" s="17" t="s">
        <v>93</v>
      </c>
      <c r="G9" s="17" t="s">
        <v>334</v>
      </c>
      <c r="H9" s="19" t="n">
        <v>32.49</v>
      </c>
      <c r="I9" s="17" t="s">
        <v>47</v>
      </c>
      <c r="J9" s="20" t="n">
        <f aca="false">IF(H9="","",H9*INDEX(FX!$B$5:$B$8,MATCH(I9,FX!$A$5:$A$8,0)))</f>
        <v>32.49</v>
      </c>
      <c r="K9" s="17" t="s">
        <v>335</v>
      </c>
      <c r="L9" s="21" t="n">
        <v>45913</v>
      </c>
      <c r="M9" s="22" t="n">
        <f aca="false">IF(L9="","",'Read me'!$B$3-L9)</f>
        <v>387</v>
      </c>
      <c r="N9" s="23" t="n">
        <v>605</v>
      </c>
      <c r="O9" s="23" t="n">
        <v>37</v>
      </c>
      <c r="P9" s="21" t="n">
        <v>46187</v>
      </c>
      <c r="Q9" s="22" t="n">
        <f aca="false">IF(P9="","",'Read me'!$B$3-P9)</f>
        <v>113</v>
      </c>
      <c r="R9" s="17"/>
    </row>
    <row r="10" customFormat="false" ht="28.5" hidden="false" customHeight="true" outlineLevel="0" collapsed="false">
      <c r="A10" s="17" t="n">
        <v>6</v>
      </c>
      <c r="B10" s="17" t="s">
        <v>336</v>
      </c>
      <c r="C10" s="18" t="s">
        <v>337</v>
      </c>
      <c r="D10" s="18" t="s">
        <v>85</v>
      </c>
      <c r="E10" s="17" t="s">
        <v>338</v>
      </c>
      <c r="F10" s="17" t="s">
        <v>339</v>
      </c>
      <c r="G10" s="17" t="s">
        <v>340</v>
      </c>
      <c r="H10" s="19" t="n">
        <v>24.9</v>
      </c>
      <c r="I10" s="17" t="s">
        <v>47</v>
      </c>
      <c r="J10" s="20" t="n">
        <f aca="false">IF(H10="","",H10*INDEX(FX!$B$5:$B$8,MATCH(I10,FX!$A$5:$A$8,0)))</f>
        <v>24.9</v>
      </c>
      <c r="K10" s="17" t="s">
        <v>341</v>
      </c>
      <c r="L10" s="21" t="n">
        <v>45783</v>
      </c>
      <c r="M10" s="22" t="n">
        <f aca="false">IF(L10="","",'Read me'!$B$3-L10)</f>
        <v>517</v>
      </c>
      <c r="N10" s="23" t="n">
        <v>499</v>
      </c>
      <c r="O10" s="23" t="n">
        <v>39</v>
      </c>
      <c r="P10" s="21" t="n">
        <v>45867</v>
      </c>
      <c r="Q10" s="22" t="n">
        <f aca="false">IF(P10="","",'Read me'!$B$3-P10)</f>
        <v>433</v>
      </c>
      <c r="R10" s="17"/>
    </row>
    <row r="11" customFormat="false" ht="28.5" hidden="false" customHeight="true" outlineLevel="0" collapsed="false">
      <c r="A11" s="17" t="n">
        <v>7</v>
      </c>
      <c r="B11" s="17" t="s">
        <v>342</v>
      </c>
      <c r="C11" s="18" t="s">
        <v>343</v>
      </c>
      <c r="D11" s="18" t="s">
        <v>85</v>
      </c>
      <c r="E11" s="17" t="s">
        <v>344</v>
      </c>
      <c r="F11" s="17" t="s">
        <v>175</v>
      </c>
      <c r="G11" s="17"/>
      <c r="H11" s="19" t="n">
        <v>29.9</v>
      </c>
      <c r="I11" s="17" t="s">
        <v>47</v>
      </c>
      <c r="J11" s="20" t="n">
        <f aca="false">IF(H11="","",H11*INDEX(FX!$B$5:$B$8,MATCH(I11,FX!$A$5:$A$8,0)))</f>
        <v>29.9</v>
      </c>
      <c r="K11" s="17" t="s">
        <v>345</v>
      </c>
      <c r="L11" s="21" t="n">
        <v>46135</v>
      </c>
      <c r="M11" s="22" t="n">
        <f aca="false">IF(L11="","",'Read me'!$B$3-L11)</f>
        <v>165</v>
      </c>
      <c r="N11" s="23" t="n">
        <v>350</v>
      </c>
      <c r="O11" s="23" t="n">
        <v>267</v>
      </c>
      <c r="P11" s="21" t="n">
        <v>46192</v>
      </c>
      <c r="Q11" s="22" t="n">
        <f aca="false">IF(P11="","",'Read me'!$B$3-P11)</f>
        <v>108</v>
      </c>
      <c r="R11" s="17" t="s">
        <v>346</v>
      </c>
    </row>
    <row r="12" customFormat="false" ht="28.5" hidden="false" customHeight="true" outlineLevel="0" collapsed="false">
      <c r="A12" s="17" t="n">
        <v>8</v>
      </c>
      <c r="B12" s="17" t="s">
        <v>347</v>
      </c>
      <c r="C12" s="18" t="s">
        <v>348</v>
      </c>
      <c r="D12" s="18" t="s">
        <v>85</v>
      </c>
      <c r="E12" s="17" t="s">
        <v>349</v>
      </c>
      <c r="F12" s="17" t="s">
        <v>93</v>
      </c>
      <c r="G12" s="17" t="s">
        <v>350</v>
      </c>
      <c r="H12" s="19" t="n">
        <v>29.95</v>
      </c>
      <c r="I12" s="17" t="s">
        <v>47</v>
      </c>
      <c r="J12" s="20" t="n">
        <f aca="false">IF(H12="","",H12*INDEX(FX!$B$5:$B$8,MATCH(I12,FX!$A$5:$A$8,0)))</f>
        <v>29.95</v>
      </c>
      <c r="K12" s="17" t="s">
        <v>351</v>
      </c>
      <c r="L12" s="21" t="n">
        <v>45985</v>
      </c>
      <c r="M12" s="22" t="n">
        <f aca="false">IF(L12="","",'Read me'!$B$3-L12)</f>
        <v>315</v>
      </c>
      <c r="N12" s="23" t="n">
        <v>194</v>
      </c>
      <c r="O12" s="23" t="n">
        <v>10</v>
      </c>
      <c r="P12" s="21" t="n">
        <v>46299</v>
      </c>
      <c r="Q12" s="22" t="n">
        <f aca="false">IF(P12="","",'Read me'!$B$3-P12)</f>
        <v>1</v>
      </c>
      <c r="R12" s="17"/>
    </row>
    <row r="13" customFormat="false" ht="28.5" hidden="false" customHeight="true" outlineLevel="0" collapsed="false">
      <c r="A13" s="17" t="n">
        <v>9</v>
      </c>
      <c r="B13" s="17" t="s">
        <v>352</v>
      </c>
      <c r="C13" s="18" t="s">
        <v>353</v>
      </c>
      <c r="D13" s="18" t="s">
        <v>85</v>
      </c>
      <c r="E13" s="17" t="s">
        <v>354</v>
      </c>
      <c r="F13" s="17" t="s">
        <v>175</v>
      </c>
      <c r="G13" s="17"/>
      <c r="H13" s="19"/>
      <c r="I13" s="17" t="s">
        <v>47</v>
      </c>
      <c r="J13" s="20" t="str">
        <f aca="false">IF(H13="","",H13*INDEX(FX!$B$5:$B$8,MATCH(I13,FX!$A$5:$A$8,0)))</f>
        <v/>
      </c>
      <c r="K13" s="17"/>
      <c r="L13" s="21" t="n">
        <v>45849</v>
      </c>
      <c r="M13" s="22" t="n">
        <f aca="false">IF(L13="","",'Read me'!$B$3-L13)</f>
        <v>451</v>
      </c>
      <c r="N13" s="23" t="n">
        <v>117</v>
      </c>
      <c r="O13" s="23" t="n">
        <v>6</v>
      </c>
      <c r="P13" s="21" t="n">
        <v>46259</v>
      </c>
      <c r="Q13" s="22" t="n">
        <f aca="false">IF(P13="","",'Read me'!$B$3-P13)</f>
        <v>41</v>
      </c>
      <c r="R13" s="17" t="s">
        <v>355</v>
      </c>
    </row>
  </sheetData>
  <hyperlinks>
    <hyperlink ref="C5" r:id="rId1" display="https://aldousbio.com"/>
    <hyperlink ref="D5" r:id="rId2" display="Open Ad Library"/>
    <hyperlink ref="C6" r:id="rId3" display="https://v-gummies.com"/>
    <hyperlink ref="D6" r:id="rId4" display="Open Ad Library"/>
    <hyperlink ref="C7" r:id="rId5" display="https://www.vitobest.com"/>
    <hyperlink ref="D7" r:id="rId6" display="Open Ad Library"/>
    <hyperlink ref="C8" r:id="rId7" display="https://www.bears-with-benefits.es"/>
    <hyperlink ref="D8" r:id="rId8" display="Open Ad Library"/>
    <hyperlink ref="C9" r:id="rId9" display="https://primalpump.es"/>
    <hyperlink ref="D9" r:id="rId10" display="Open Ad Library"/>
    <hyperlink ref="C10" r:id="rId11" display="https://www.mahen.es"/>
    <hyperlink ref="D10" r:id="rId12" display="Open Ad Library"/>
    <hyperlink ref="C11" r:id="rId13" display="https://sonvital.com"/>
    <hyperlink ref="D11" r:id="rId14" display="Open Ad Library"/>
    <hyperlink ref="C12" r:id="rId15" display="https://www.femive.com"/>
    <hyperlink ref="D12" r:id="rId16" display="Open Ad Library"/>
    <hyperlink ref="C13" r:id="rId17" display="https://aramanatural.es"/>
    <hyperlink ref="D13" r:id="rId18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356</v>
      </c>
    </row>
    <row r="2" customFormat="false" ht="15" hidden="false" customHeight="false" outlineLevel="0" collapsed="false">
      <c r="A2" s="16" t="s">
        <v>179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42" hidden="false" customHeight="true" outlineLevel="0" collapsed="false">
      <c r="A5" s="17" t="n">
        <v>1</v>
      </c>
      <c r="B5" s="17" t="s">
        <v>357</v>
      </c>
      <c r="C5" s="18" t="s">
        <v>358</v>
      </c>
      <c r="D5" s="18" t="s">
        <v>85</v>
      </c>
      <c r="E5" s="17" t="s">
        <v>359</v>
      </c>
      <c r="F5" s="17" t="s">
        <v>183</v>
      </c>
      <c r="G5" s="17" t="s">
        <v>360</v>
      </c>
      <c r="H5" s="19" t="n">
        <v>19.99</v>
      </c>
      <c r="I5" s="17" t="s">
        <v>47</v>
      </c>
      <c r="J5" s="20" t="n">
        <f aca="false">IF(H5="","",H5*INDEX(FX!$B$5:$B$8,MATCH(I5,FX!$A$5:$A$8,0)))</f>
        <v>19.99</v>
      </c>
      <c r="K5" s="17" t="s">
        <v>361</v>
      </c>
      <c r="L5" s="21" t="n">
        <v>45689</v>
      </c>
      <c r="M5" s="22" t="n">
        <f aca="false">IF(L5="","",'Read me'!$B$3-L5)</f>
        <v>611</v>
      </c>
      <c r="N5" s="23" t="n">
        <v>1886</v>
      </c>
      <c r="O5" s="23" t="n">
        <v>231</v>
      </c>
      <c r="P5" s="21" t="n">
        <v>46128</v>
      </c>
      <c r="Q5" s="22" t="n">
        <f aca="false">IF(P5="","",'Read me'!$B$3-P5)</f>
        <v>172</v>
      </c>
      <c r="R5" s="17"/>
    </row>
    <row r="6" customFormat="false" ht="28.5" hidden="false" customHeight="true" outlineLevel="0" collapsed="false">
      <c r="A6" s="17" t="n">
        <v>2</v>
      </c>
      <c r="B6" s="17" t="s">
        <v>362</v>
      </c>
      <c r="C6" s="18" t="s">
        <v>363</v>
      </c>
      <c r="D6" s="18" t="s">
        <v>85</v>
      </c>
      <c r="E6" s="17" t="s">
        <v>364</v>
      </c>
      <c r="F6" s="17" t="s">
        <v>270</v>
      </c>
      <c r="G6" s="17" t="s">
        <v>365</v>
      </c>
      <c r="H6" s="19" t="n">
        <v>17.49</v>
      </c>
      <c r="I6" s="17" t="s">
        <v>47</v>
      </c>
      <c r="J6" s="20" t="n">
        <f aca="false">IF(H6="","",H6*INDEX(FX!$B$5:$B$8,MATCH(I6,FX!$A$5:$A$8,0)))</f>
        <v>17.49</v>
      </c>
      <c r="K6" s="17" t="s">
        <v>366</v>
      </c>
      <c r="L6" s="21" t="n">
        <v>45979</v>
      </c>
      <c r="M6" s="22" t="n">
        <f aca="false">IF(L6="","",'Read me'!$B$3-L6)</f>
        <v>321</v>
      </c>
      <c r="N6" s="23" t="n">
        <v>457</v>
      </c>
      <c r="O6" s="23" t="n">
        <v>64</v>
      </c>
      <c r="P6" s="21" t="n">
        <v>46238</v>
      </c>
      <c r="Q6" s="22" t="n">
        <f aca="false">IF(P6="","",'Read me'!$B$3-P6)</f>
        <v>62</v>
      </c>
      <c r="R6" s="17"/>
    </row>
    <row r="7" customFormat="false" ht="28.5" hidden="false" customHeight="true" outlineLevel="0" collapsed="false">
      <c r="A7" s="17" t="n">
        <v>3</v>
      </c>
      <c r="B7" s="17" t="s">
        <v>367</v>
      </c>
      <c r="C7" s="18" t="s">
        <v>368</v>
      </c>
      <c r="D7" s="18" t="s">
        <v>85</v>
      </c>
      <c r="E7" s="17" t="s">
        <v>315</v>
      </c>
      <c r="F7" s="17" t="s">
        <v>270</v>
      </c>
      <c r="G7" s="17" t="s">
        <v>316</v>
      </c>
      <c r="H7" s="19" t="n">
        <v>17.57</v>
      </c>
      <c r="I7" s="17" t="s">
        <v>47</v>
      </c>
      <c r="J7" s="20" t="n">
        <f aca="false">IF(H7="","",H7*INDEX(FX!$B$5:$B$8,MATCH(I7,FX!$A$5:$A$8,0)))</f>
        <v>17.57</v>
      </c>
      <c r="K7" s="17" t="s">
        <v>369</v>
      </c>
      <c r="L7" s="21" t="n">
        <v>46057</v>
      </c>
      <c r="M7" s="22" t="n">
        <f aca="false">IF(L7="","",'Read me'!$B$3-L7)</f>
        <v>243</v>
      </c>
      <c r="N7" s="23" t="n">
        <v>382</v>
      </c>
      <c r="O7" s="23" t="n">
        <v>21</v>
      </c>
      <c r="P7" s="21" t="n">
        <v>46163</v>
      </c>
      <c r="Q7" s="22" t="n">
        <f aca="false">IF(P7="","",'Read me'!$B$3-P7)</f>
        <v>137</v>
      </c>
      <c r="R7" s="17"/>
    </row>
    <row r="8" customFormat="false" ht="15.75" hidden="false" customHeight="true" outlineLevel="0" collapsed="false">
      <c r="A8" s="17" t="n">
        <v>4</v>
      </c>
      <c r="B8" s="17" t="s">
        <v>370</v>
      </c>
      <c r="C8" s="18" t="s">
        <v>371</v>
      </c>
      <c r="D8" s="18" t="s">
        <v>85</v>
      </c>
      <c r="E8" s="17" t="s">
        <v>372</v>
      </c>
      <c r="F8" s="17" t="s">
        <v>175</v>
      </c>
      <c r="G8" s="17"/>
      <c r="H8" s="19"/>
      <c r="I8" s="17" t="s">
        <v>47</v>
      </c>
      <c r="J8" s="20" t="str">
        <f aca="false">IF(H8="","",H8*INDEX(FX!$B$5:$B$8,MATCH(I8,FX!$A$5:$A$8,0)))</f>
        <v/>
      </c>
      <c r="K8" s="17"/>
      <c r="L8" s="21" t="n">
        <v>45952</v>
      </c>
      <c r="M8" s="22" t="n">
        <f aca="false">IF(L8="","",'Read me'!$B$3-L8)</f>
        <v>348</v>
      </c>
      <c r="N8" s="23" t="n">
        <v>247</v>
      </c>
      <c r="O8" s="23" t="n">
        <v>24</v>
      </c>
      <c r="P8" s="21" t="n">
        <v>46113</v>
      </c>
      <c r="Q8" s="22" t="n">
        <f aca="false">IF(P8="","",'Read me'!$B$3-P8)</f>
        <v>187</v>
      </c>
      <c r="R8" s="17"/>
    </row>
    <row r="9" customFormat="false" ht="28.5" hidden="false" customHeight="true" outlineLevel="0" collapsed="false">
      <c r="A9" s="17" t="n">
        <v>5</v>
      </c>
      <c r="B9" s="17" t="s">
        <v>373</v>
      </c>
      <c r="C9" s="18" t="s">
        <v>374</v>
      </c>
      <c r="D9" s="18" t="s">
        <v>85</v>
      </c>
      <c r="E9" s="17" t="s">
        <v>375</v>
      </c>
      <c r="F9" s="17" t="s">
        <v>175</v>
      </c>
      <c r="G9" s="17"/>
      <c r="H9" s="19"/>
      <c r="I9" s="17" t="s">
        <v>47</v>
      </c>
      <c r="J9" s="20" t="str">
        <f aca="false">IF(H9="","",H9*INDEX(FX!$B$5:$B$8,MATCH(I9,FX!$A$5:$A$8,0)))</f>
        <v/>
      </c>
      <c r="K9" s="17"/>
      <c r="L9" s="21" t="n">
        <v>45936</v>
      </c>
      <c r="M9" s="22" t="n">
        <f aca="false">IF(L9="","",'Read me'!$B$3-L9)</f>
        <v>364</v>
      </c>
      <c r="N9" s="23" t="n">
        <v>234</v>
      </c>
      <c r="O9" s="23" t="n">
        <v>19</v>
      </c>
      <c r="P9" s="21" t="n">
        <v>46113</v>
      </c>
      <c r="Q9" s="22" t="n">
        <f aca="false">IF(P9="","",'Read me'!$B$3-P9)</f>
        <v>187</v>
      </c>
      <c r="R9" s="17"/>
    </row>
    <row r="10" customFormat="false" ht="28.5" hidden="false" customHeight="true" outlineLevel="0" collapsed="false">
      <c r="A10" s="17" t="n">
        <v>6</v>
      </c>
      <c r="B10" s="17" t="s">
        <v>376</v>
      </c>
      <c r="C10" s="18" t="s">
        <v>377</v>
      </c>
      <c r="D10" s="18" t="s">
        <v>85</v>
      </c>
      <c r="E10" s="17" t="s">
        <v>378</v>
      </c>
      <c r="F10" s="17" t="s">
        <v>183</v>
      </c>
      <c r="G10" s="17" t="s">
        <v>379</v>
      </c>
      <c r="H10" s="19" t="n">
        <v>10.99</v>
      </c>
      <c r="I10" s="17" t="s">
        <v>47</v>
      </c>
      <c r="J10" s="20" t="n">
        <f aca="false">IF(H10="","",H10*INDEX(FX!$B$5:$B$8,MATCH(I10,FX!$A$5:$A$8,0)))</f>
        <v>10.99</v>
      </c>
      <c r="K10" s="17" t="s">
        <v>380</v>
      </c>
      <c r="L10" s="21" t="n">
        <v>45208</v>
      </c>
      <c r="M10" s="22" t="n">
        <f aca="false">IF(L10="","",'Read me'!$B$3-L10)</f>
        <v>1092</v>
      </c>
      <c r="N10" s="23" t="n">
        <v>214</v>
      </c>
      <c r="O10" s="23" t="n">
        <v>58</v>
      </c>
      <c r="P10" s="21" t="n">
        <v>45774</v>
      </c>
      <c r="Q10" s="22" t="n">
        <f aca="false">IF(P10="","",'Read me'!$B$3-P10)</f>
        <v>526</v>
      </c>
      <c r="R10" s="17"/>
    </row>
    <row r="11" customFormat="false" ht="28.5" hidden="false" customHeight="true" outlineLevel="0" collapsed="false">
      <c r="A11" s="17" t="n">
        <v>7</v>
      </c>
      <c r="B11" s="17" t="s">
        <v>381</v>
      </c>
      <c r="C11" s="18" t="s">
        <v>382</v>
      </c>
      <c r="D11" s="18" t="s">
        <v>85</v>
      </c>
      <c r="E11" s="17" t="s">
        <v>383</v>
      </c>
      <c r="F11" s="17" t="s">
        <v>183</v>
      </c>
      <c r="G11" s="17"/>
      <c r="H11" s="19"/>
      <c r="I11" s="17" t="s">
        <v>47</v>
      </c>
      <c r="J11" s="20" t="str">
        <f aca="false">IF(H11="","",H11*INDEX(FX!$B$5:$B$8,MATCH(I11,FX!$A$5:$A$8,0)))</f>
        <v/>
      </c>
      <c r="K11" s="17" t="s">
        <v>384</v>
      </c>
      <c r="L11" s="21" t="n">
        <v>45877</v>
      </c>
      <c r="M11" s="22" t="n">
        <f aca="false">IF(L11="","",'Read me'!$B$3-L11)</f>
        <v>423</v>
      </c>
      <c r="N11" s="23" t="n">
        <v>178</v>
      </c>
      <c r="O11" s="23" t="n">
        <v>66</v>
      </c>
      <c r="P11" s="21" t="n">
        <v>45960</v>
      </c>
      <c r="Q11" s="22" t="n">
        <f aca="false">IF(P11="","",'Read me'!$B$3-P11)</f>
        <v>340</v>
      </c>
      <c r="R11" s="17"/>
    </row>
    <row r="12" customFormat="false" ht="28.5" hidden="false" customHeight="true" outlineLevel="0" collapsed="false">
      <c r="A12" s="17" t="n">
        <v>8</v>
      </c>
      <c r="B12" s="17" t="s">
        <v>385</v>
      </c>
      <c r="C12" s="18" t="s">
        <v>386</v>
      </c>
      <c r="D12" s="18" t="s">
        <v>85</v>
      </c>
      <c r="E12" s="17" t="s">
        <v>387</v>
      </c>
      <c r="F12" s="17" t="s">
        <v>175</v>
      </c>
      <c r="G12" s="17" t="s">
        <v>388</v>
      </c>
      <c r="H12" s="19" t="n">
        <v>27</v>
      </c>
      <c r="I12" s="17" t="s">
        <v>47</v>
      </c>
      <c r="J12" s="20" t="n">
        <f aca="false">IF(H12="","",H12*INDEX(FX!$B$5:$B$8,MATCH(I12,FX!$A$5:$A$8,0)))</f>
        <v>27</v>
      </c>
      <c r="K12" s="17" t="s">
        <v>389</v>
      </c>
      <c r="L12" s="21" t="n">
        <v>45811</v>
      </c>
      <c r="M12" s="22" t="n">
        <f aca="false">IF(L12="","",'Read me'!$B$3-L12)</f>
        <v>489</v>
      </c>
      <c r="N12" s="23" t="n">
        <v>67</v>
      </c>
      <c r="O12" s="23" t="n">
        <v>6</v>
      </c>
      <c r="P12" s="21" t="n">
        <v>46021</v>
      </c>
      <c r="Q12" s="22" t="n">
        <f aca="false">IF(P12="","",'Read me'!$B$3-P12)</f>
        <v>279</v>
      </c>
      <c r="R12" s="17"/>
    </row>
    <row r="13" customFormat="false" ht="28.5" hidden="false" customHeight="true" outlineLevel="0" collapsed="false">
      <c r="A13" s="17" t="n">
        <v>9</v>
      </c>
      <c r="B13" s="17" t="s">
        <v>390</v>
      </c>
      <c r="C13" s="18" t="s">
        <v>391</v>
      </c>
      <c r="D13" s="18" t="s">
        <v>85</v>
      </c>
      <c r="E13" s="17" t="s">
        <v>392</v>
      </c>
      <c r="F13" s="17" t="s">
        <v>183</v>
      </c>
      <c r="G13" s="17" t="s">
        <v>393</v>
      </c>
      <c r="H13" s="19" t="n">
        <v>22.8</v>
      </c>
      <c r="I13" s="17" t="s">
        <v>47</v>
      </c>
      <c r="J13" s="20" t="n">
        <f aca="false">IF(H13="","",H13*INDEX(FX!$B$5:$B$8,MATCH(I13,FX!$A$5:$A$8,0)))</f>
        <v>22.8</v>
      </c>
      <c r="K13" s="17" t="s">
        <v>394</v>
      </c>
      <c r="L13" s="21" t="n">
        <v>45965</v>
      </c>
      <c r="M13" s="22" t="n">
        <f aca="false">IF(L13="","",'Read me'!$B$3-L13)</f>
        <v>335</v>
      </c>
      <c r="N13" s="23" t="n">
        <v>38</v>
      </c>
      <c r="O13" s="23" t="n">
        <v>11</v>
      </c>
      <c r="P13" s="21" t="n">
        <v>46086</v>
      </c>
      <c r="Q13" s="22" t="n">
        <f aca="false">IF(P13="","",'Read me'!$B$3-P13)</f>
        <v>214</v>
      </c>
      <c r="R13" s="17"/>
    </row>
  </sheetData>
  <hyperlinks>
    <hyperlink ref="C5" r:id="rId1" display="https://www.sensilab.pt"/>
    <hyperlink ref="D5" r:id="rId2" display="Open Ad Library"/>
    <hyperlink ref="C6" r:id="rId3" display="https://www.weightworld.com.pt"/>
    <hyperlink ref="D6" r:id="rId4" display="Open Ad Library"/>
    <hyperlink ref="C7" r:id="rId5" display="https://aldousbio.pt"/>
    <hyperlink ref="D7" r:id="rId6" display="Open Ad Library"/>
    <hyperlink ref="C8" r:id="rId7" display="https://maxnesio.pt"/>
    <hyperlink ref="D8" r:id="rId8" display="Open Ad Library"/>
    <hyperlink ref="C9" r:id="rId9" display="https://confidence-mulher.pt"/>
    <hyperlink ref="D9" r:id="rId10" display="Open Ad Library"/>
    <hyperlink ref="C10" r:id="rId11" display="https://nutribio.pt"/>
    <hyperlink ref="D10" r:id="rId12" display="Open Ad Library"/>
    <hyperlink ref="C11" r:id="rId13" display="https://eusougira.com"/>
    <hyperlink ref="D11" r:id="rId14" display="Open Ad Library"/>
    <hyperlink ref="C12" r:id="rId15" display="https://vivamelhor.pt"/>
    <hyperlink ref="D12" r:id="rId16" display="Open Ad Library"/>
    <hyperlink ref="C13" r:id="rId17" display="https://natureheals.pt"/>
    <hyperlink ref="D13" r:id="rId18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395</v>
      </c>
    </row>
    <row r="2" customFormat="false" ht="15" hidden="false" customHeight="false" outlineLevel="0" collapsed="false">
      <c r="A2" s="16" t="s">
        <v>396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28.5" hidden="false" customHeight="true" outlineLevel="0" collapsed="false">
      <c r="A5" s="17" t="n">
        <v>1</v>
      </c>
      <c r="B5" s="17" t="s">
        <v>397</v>
      </c>
      <c r="C5" s="18" t="s">
        <v>398</v>
      </c>
      <c r="D5" s="18" t="s">
        <v>85</v>
      </c>
      <c r="E5" s="17" t="s">
        <v>399</v>
      </c>
      <c r="F5" s="17" t="s">
        <v>400</v>
      </c>
      <c r="G5" s="17" t="s">
        <v>401</v>
      </c>
      <c r="H5" s="19" t="n">
        <v>24.9</v>
      </c>
      <c r="I5" s="17" t="s">
        <v>47</v>
      </c>
      <c r="J5" s="20" t="n">
        <f aca="false">IF(H5="","",H5*INDEX(FX!$B$5:$B$8,MATCH(I5,FX!$A$5:$A$8,0)))</f>
        <v>24.9</v>
      </c>
      <c r="K5" s="17" t="s">
        <v>402</v>
      </c>
      <c r="L5" s="21" t="n">
        <v>45996</v>
      </c>
      <c r="M5" s="22" t="n">
        <f aca="false">IF(L5="","",'Read me'!$B$3-L5)</f>
        <v>304</v>
      </c>
      <c r="N5" s="23" t="n">
        <v>3464</v>
      </c>
      <c r="O5" s="23" t="n">
        <v>764</v>
      </c>
      <c r="P5" s="21" t="n">
        <v>46078</v>
      </c>
      <c r="Q5" s="22" t="n">
        <f aca="false">IF(P5="","",'Read me'!$B$3-P5)</f>
        <v>222</v>
      </c>
      <c r="R5" s="17" t="s">
        <v>403</v>
      </c>
    </row>
    <row r="6" customFormat="false" ht="42" hidden="false" customHeight="true" outlineLevel="0" collapsed="false">
      <c r="A6" s="17" t="n">
        <v>2</v>
      </c>
      <c r="B6" s="17" t="s">
        <v>96</v>
      </c>
      <c r="C6" s="18" t="s">
        <v>97</v>
      </c>
      <c r="D6" s="18" t="s">
        <v>85</v>
      </c>
      <c r="E6" s="17" t="s">
        <v>98</v>
      </c>
      <c r="F6" s="17" t="s">
        <v>93</v>
      </c>
      <c r="G6" s="17" t="s">
        <v>99</v>
      </c>
      <c r="H6" s="19" t="n">
        <v>34</v>
      </c>
      <c r="I6" s="17" t="s">
        <v>47</v>
      </c>
      <c r="J6" s="20" t="n">
        <f aca="false">IF(H6="","",H6*INDEX(FX!$B$5:$B$8,MATCH(I6,FX!$A$5:$A$8,0)))</f>
        <v>34</v>
      </c>
      <c r="K6" s="17" t="s">
        <v>100</v>
      </c>
      <c r="L6" s="21" t="n">
        <v>45759</v>
      </c>
      <c r="M6" s="22" t="n">
        <f aca="false">IF(L6="","",'Read me'!$B$3-L6)</f>
        <v>541</v>
      </c>
      <c r="N6" s="23" t="n">
        <v>2555</v>
      </c>
      <c r="O6" s="23" t="n">
        <v>269</v>
      </c>
      <c r="P6" s="21" t="n">
        <v>46125</v>
      </c>
      <c r="Q6" s="22" t="n">
        <f aca="false">IF(P6="","",'Read me'!$B$3-P6)</f>
        <v>175</v>
      </c>
      <c r="R6" s="17" t="s">
        <v>404</v>
      </c>
    </row>
    <row r="7" customFormat="false" ht="42" hidden="false" customHeight="true" outlineLevel="0" collapsed="false">
      <c r="A7" s="17" t="n">
        <v>3</v>
      </c>
      <c r="B7" s="17" t="s">
        <v>108</v>
      </c>
      <c r="C7" s="18" t="s">
        <v>109</v>
      </c>
      <c r="D7" s="18" t="s">
        <v>85</v>
      </c>
      <c r="E7" s="17" t="s">
        <v>110</v>
      </c>
      <c r="F7" s="17" t="s">
        <v>111</v>
      </c>
      <c r="G7" s="17" t="s">
        <v>405</v>
      </c>
      <c r="H7" s="19" t="n">
        <v>39.8</v>
      </c>
      <c r="I7" s="17" t="s">
        <v>47</v>
      </c>
      <c r="J7" s="20" t="n">
        <f aca="false">IF(H7="","",H7*INDEX(FX!$B$5:$B$8,MATCH(I7,FX!$A$5:$A$8,0)))</f>
        <v>39.8</v>
      </c>
      <c r="K7" s="17" t="s">
        <v>406</v>
      </c>
      <c r="L7" s="21" t="n">
        <v>45329</v>
      </c>
      <c r="M7" s="22" t="n">
        <f aca="false">IF(L7="","",'Read me'!$B$3-L7)</f>
        <v>971</v>
      </c>
      <c r="N7" s="23" t="n">
        <v>2309</v>
      </c>
      <c r="O7" s="23" t="n">
        <v>1289</v>
      </c>
      <c r="P7" s="21" t="n">
        <v>45588</v>
      </c>
      <c r="Q7" s="22" t="n">
        <f aca="false">IF(P7="","",'Read me'!$B$3-P7)</f>
        <v>712</v>
      </c>
      <c r="R7" s="17" t="s">
        <v>404</v>
      </c>
    </row>
    <row r="8" customFormat="false" ht="28.5" hidden="false" customHeight="true" outlineLevel="0" collapsed="false">
      <c r="A8" s="17" t="n">
        <v>4</v>
      </c>
      <c r="B8" s="17" t="s">
        <v>407</v>
      </c>
      <c r="C8" s="18" t="s">
        <v>408</v>
      </c>
      <c r="D8" s="18" t="s">
        <v>85</v>
      </c>
      <c r="E8" s="17" t="s">
        <v>409</v>
      </c>
      <c r="F8" s="17" t="s">
        <v>175</v>
      </c>
      <c r="G8" s="17" t="s">
        <v>410</v>
      </c>
      <c r="H8" s="19" t="n">
        <v>25.9</v>
      </c>
      <c r="I8" s="17" t="s">
        <v>47</v>
      </c>
      <c r="J8" s="20" t="n">
        <f aca="false">IF(H8="","",H8*INDEX(FX!$B$5:$B$8,MATCH(I8,FX!$A$5:$A$8,0)))</f>
        <v>25.9</v>
      </c>
      <c r="K8" s="17" t="s">
        <v>411</v>
      </c>
      <c r="L8" s="21" t="n">
        <v>45257</v>
      </c>
      <c r="M8" s="22" t="n">
        <f aca="false">IF(L8="","",'Read me'!$B$3-L8)</f>
        <v>1043</v>
      </c>
      <c r="N8" s="23" t="n">
        <v>828</v>
      </c>
      <c r="O8" s="23" t="n">
        <v>106</v>
      </c>
      <c r="P8" s="21" t="n">
        <v>46099</v>
      </c>
      <c r="Q8" s="22" t="n">
        <f aca="false">IF(P8="","",'Read me'!$B$3-P8)</f>
        <v>201</v>
      </c>
      <c r="R8" s="17" t="s">
        <v>412</v>
      </c>
    </row>
    <row r="9" customFormat="false" ht="28.5" hidden="false" customHeight="true" outlineLevel="0" collapsed="false">
      <c r="A9" s="17" t="n">
        <v>5</v>
      </c>
      <c r="B9" s="17" t="s">
        <v>413</v>
      </c>
      <c r="C9" s="18" t="s">
        <v>414</v>
      </c>
      <c r="D9" s="18" t="s">
        <v>85</v>
      </c>
      <c r="E9" s="17" t="s">
        <v>415</v>
      </c>
      <c r="F9" s="17" t="s">
        <v>111</v>
      </c>
      <c r="G9" s="17" t="s">
        <v>416</v>
      </c>
      <c r="H9" s="19" t="n">
        <v>52.95</v>
      </c>
      <c r="I9" s="17" t="s">
        <v>48</v>
      </c>
      <c r="J9" s="20" t="n">
        <f aca="false">IF(H9="","",H9*INDEX(FX!$B$5:$B$8,MATCH(I9,FX!$A$5:$A$8,0)))</f>
        <v>56.6565</v>
      </c>
      <c r="K9" s="17" t="s">
        <v>417</v>
      </c>
      <c r="L9" s="21" t="n">
        <v>45945</v>
      </c>
      <c r="M9" s="22" t="n">
        <f aca="false">IF(L9="","",'Read me'!$B$3-L9)</f>
        <v>355</v>
      </c>
      <c r="N9" s="23" t="n">
        <v>176</v>
      </c>
      <c r="O9" s="23" t="n">
        <v>21</v>
      </c>
      <c r="P9" s="21" t="n">
        <v>46125</v>
      </c>
      <c r="Q9" s="22" t="n">
        <f aca="false">IF(P9="","",'Read me'!$B$3-P9)</f>
        <v>175</v>
      </c>
      <c r="R9" s="17" t="s">
        <v>418</v>
      </c>
    </row>
    <row r="10" customFormat="false" ht="28.5" hidden="false" customHeight="true" outlineLevel="0" collapsed="false">
      <c r="A10" s="17" t="n">
        <v>6</v>
      </c>
      <c r="B10" s="17" t="s">
        <v>419</v>
      </c>
      <c r="C10" s="18" t="s">
        <v>420</v>
      </c>
      <c r="D10" s="18" t="s">
        <v>85</v>
      </c>
      <c r="E10" s="17" t="s">
        <v>421</v>
      </c>
      <c r="F10" s="17" t="s">
        <v>183</v>
      </c>
      <c r="G10" s="17" t="s">
        <v>422</v>
      </c>
      <c r="H10" s="19" t="n">
        <v>9.74</v>
      </c>
      <c r="I10" s="17" t="s">
        <v>47</v>
      </c>
      <c r="J10" s="20" t="n">
        <f aca="false">IF(H10="","",H10*INDEX(FX!$B$5:$B$8,MATCH(I10,FX!$A$5:$A$8,0)))</f>
        <v>9.74</v>
      </c>
      <c r="K10" s="17" t="s">
        <v>423</v>
      </c>
      <c r="L10" s="21" t="n">
        <v>45663</v>
      </c>
      <c r="M10" s="22" t="n">
        <f aca="false">IF(L10="","",'Read me'!$B$3-L10)</f>
        <v>637</v>
      </c>
      <c r="N10" s="23" t="n">
        <v>56</v>
      </c>
      <c r="O10" s="23" t="n">
        <v>7</v>
      </c>
      <c r="P10" s="21" t="n">
        <v>46171</v>
      </c>
      <c r="Q10" s="22" t="n">
        <f aca="false">IF(P10="","",'Read me'!$B$3-P10)</f>
        <v>129</v>
      </c>
      <c r="R10" s="17" t="s">
        <v>424</v>
      </c>
    </row>
    <row r="11" customFormat="false" ht="42" hidden="false" customHeight="true" outlineLevel="0" collapsed="false">
      <c r="A11" s="17" t="n">
        <v>7</v>
      </c>
      <c r="B11" s="17" t="s">
        <v>425</v>
      </c>
      <c r="C11" s="18" t="s">
        <v>426</v>
      </c>
      <c r="D11" s="18" t="s">
        <v>85</v>
      </c>
      <c r="E11" s="17" t="s">
        <v>427</v>
      </c>
      <c r="F11" s="17" t="s">
        <v>183</v>
      </c>
      <c r="G11" s="17" t="s">
        <v>428</v>
      </c>
      <c r="H11" s="19" t="n">
        <v>29.61</v>
      </c>
      <c r="I11" s="17" t="s">
        <v>48</v>
      </c>
      <c r="J11" s="20" t="n">
        <f aca="false">IF(H11="","",H11*INDEX(FX!$B$5:$B$8,MATCH(I11,FX!$A$5:$A$8,0)))</f>
        <v>31.6827</v>
      </c>
      <c r="K11" s="17" t="s">
        <v>429</v>
      </c>
      <c r="L11" s="21" t="n">
        <v>45190</v>
      </c>
      <c r="M11" s="22" t="n">
        <f aca="false">IF(L11="","",'Read me'!$B$3-L11)</f>
        <v>1110</v>
      </c>
      <c r="N11" s="23" t="n">
        <v>55</v>
      </c>
      <c r="O11" s="23" t="n">
        <v>55</v>
      </c>
      <c r="P11" s="21" t="n">
        <v>45190</v>
      </c>
      <c r="Q11" s="22" t="n">
        <f aca="false">IF(P11="","",'Read me'!$B$3-P11)</f>
        <v>1110</v>
      </c>
      <c r="R11" s="17"/>
    </row>
    <row r="12" customFormat="false" ht="28.5" hidden="false" customHeight="true" outlineLevel="0" collapsed="false">
      <c r="A12" s="17" t="n">
        <v>8</v>
      </c>
      <c r="B12" s="17" t="s">
        <v>430</v>
      </c>
      <c r="C12" s="18" t="s">
        <v>431</v>
      </c>
      <c r="D12" s="18" t="s">
        <v>85</v>
      </c>
      <c r="E12" s="17" t="s">
        <v>432</v>
      </c>
      <c r="F12" s="17" t="s">
        <v>175</v>
      </c>
      <c r="G12" s="17"/>
      <c r="H12" s="19"/>
      <c r="I12" s="17" t="s">
        <v>48</v>
      </c>
      <c r="J12" s="20" t="str">
        <f aca="false">IF(H12="","",H12*INDEX(FX!$B$5:$B$8,MATCH(I12,FX!$A$5:$A$8,0)))</f>
        <v/>
      </c>
      <c r="K12" s="17"/>
      <c r="L12" s="21" t="n">
        <v>45852</v>
      </c>
      <c r="M12" s="22" t="n">
        <f aca="false">IF(L12="","",'Read me'!$B$3-L12)</f>
        <v>448</v>
      </c>
      <c r="N12" s="23" t="n">
        <v>25</v>
      </c>
      <c r="O12" s="23" t="n">
        <v>26</v>
      </c>
      <c r="P12" s="21" t="n">
        <v>45852</v>
      </c>
      <c r="Q12" s="22" t="n">
        <f aca="false">IF(P12="","",'Read me'!$B$3-P12)</f>
        <v>448</v>
      </c>
      <c r="R12" s="17"/>
    </row>
    <row r="13" customFormat="false" ht="28.5" hidden="false" customHeight="true" outlineLevel="0" collapsed="false">
      <c r="A13" s="17" t="n">
        <v>9</v>
      </c>
      <c r="B13" s="17" t="s">
        <v>433</v>
      </c>
      <c r="C13" s="18" t="s">
        <v>434</v>
      </c>
      <c r="D13" s="18" t="s">
        <v>85</v>
      </c>
      <c r="E13" s="17" t="s">
        <v>435</v>
      </c>
      <c r="F13" s="17" t="s">
        <v>436</v>
      </c>
      <c r="G13" s="17"/>
      <c r="H13" s="19"/>
      <c r="I13" s="17" t="s">
        <v>48</v>
      </c>
      <c r="J13" s="20" t="str">
        <f aca="false">IF(H13="","",H13*INDEX(FX!$B$5:$B$8,MATCH(I13,FX!$A$5:$A$8,0)))</f>
        <v/>
      </c>
      <c r="K13" s="17"/>
      <c r="L13" s="21" t="n">
        <v>45879</v>
      </c>
      <c r="M13" s="22" t="n">
        <f aca="false">IF(L13="","",'Read me'!$B$3-L13)</f>
        <v>421</v>
      </c>
      <c r="N13" s="23" t="n">
        <v>23</v>
      </c>
      <c r="O13" s="23" t="n">
        <v>26</v>
      </c>
      <c r="P13" s="21" t="n">
        <v>46243</v>
      </c>
      <c r="Q13" s="22" t="n">
        <f aca="false">IF(P13="","",'Read me'!$B$3-P13)</f>
        <v>57</v>
      </c>
      <c r="R13" s="17"/>
    </row>
    <row r="14" customFormat="false" ht="28.5" hidden="false" customHeight="true" outlineLevel="0" collapsed="false">
      <c r="A14" s="17" t="n">
        <v>10</v>
      </c>
      <c r="B14" s="17" t="s">
        <v>437</v>
      </c>
      <c r="C14" s="18" t="s">
        <v>438</v>
      </c>
      <c r="D14" s="18" t="s">
        <v>85</v>
      </c>
      <c r="E14" s="17" t="s">
        <v>439</v>
      </c>
      <c r="F14" s="17" t="s">
        <v>183</v>
      </c>
      <c r="G14" s="17" t="s">
        <v>440</v>
      </c>
      <c r="H14" s="19" t="n">
        <v>4.9</v>
      </c>
      <c r="I14" s="17" t="s">
        <v>48</v>
      </c>
      <c r="J14" s="20" t="n">
        <f aca="false">IF(H14="","",H14*INDEX(FX!$B$5:$B$8,MATCH(I14,FX!$A$5:$A$8,0)))</f>
        <v>5.243</v>
      </c>
      <c r="K14" s="17" t="s">
        <v>441</v>
      </c>
      <c r="L14" s="21" t="n">
        <v>46098</v>
      </c>
      <c r="M14" s="22" t="n">
        <f aca="false">IF(L14="","",'Read me'!$B$3-L14)</f>
        <v>202</v>
      </c>
      <c r="N14" s="23" t="n">
        <v>10</v>
      </c>
      <c r="O14" s="23" t="n">
        <v>10</v>
      </c>
      <c r="P14" s="21" t="n">
        <v>46098</v>
      </c>
      <c r="Q14" s="22" t="n">
        <f aca="false">IF(P14="","",'Read me'!$B$3-P14)</f>
        <v>202</v>
      </c>
      <c r="R14" s="17"/>
    </row>
    <row r="15" customFormat="false" ht="42" hidden="false" customHeight="true" outlineLevel="0" collapsed="false">
      <c r="A15" s="17" t="n">
        <v>11</v>
      </c>
      <c r="B15" s="17" t="s">
        <v>442</v>
      </c>
      <c r="C15" s="18" t="s">
        <v>443</v>
      </c>
      <c r="D15" s="18" t="s">
        <v>85</v>
      </c>
      <c r="E15" s="17" t="s">
        <v>444</v>
      </c>
      <c r="F15" s="17" t="s">
        <v>87</v>
      </c>
      <c r="G15" s="17" t="s">
        <v>445</v>
      </c>
      <c r="H15" s="19" t="n">
        <v>24.9</v>
      </c>
      <c r="I15" s="17" t="s">
        <v>48</v>
      </c>
      <c r="J15" s="20" t="n">
        <f aca="false">IF(H15="","",H15*INDEX(FX!$B$5:$B$8,MATCH(I15,FX!$A$5:$A$8,0)))</f>
        <v>26.643</v>
      </c>
      <c r="K15" s="17" t="s">
        <v>446</v>
      </c>
      <c r="L15" s="21" t="n">
        <v>45748</v>
      </c>
      <c r="M15" s="22" t="n">
        <f aca="false">IF(L15="","",'Read me'!$B$3-L15)</f>
        <v>552</v>
      </c>
      <c r="N15" s="23" t="n">
        <v>3</v>
      </c>
      <c r="O15" s="23" t="n">
        <v>3</v>
      </c>
      <c r="P15" s="21" t="n">
        <v>45748</v>
      </c>
      <c r="Q15" s="22" t="n">
        <f aca="false">IF(P15="","",'Read me'!$B$3-P15)</f>
        <v>552</v>
      </c>
      <c r="R15" s="17"/>
    </row>
    <row r="16" customFormat="false" ht="42" hidden="false" customHeight="true" outlineLevel="0" collapsed="false">
      <c r="A16" s="17" t="n">
        <v>12</v>
      </c>
      <c r="B16" s="17" t="s">
        <v>447</v>
      </c>
      <c r="C16" s="18" t="s">
        <v>448</v>
      </c>
      <c r="D16" s="18" t="s">
        <v>85</v>
      </c>
      <c r="E16" s="17" t="s">
        <v>449</v>
      </c>
      <c r="F16" s="17" t="s">
        <v>111</v>
      </c>
      <c r="G16" s="17" t="s">
        <v>450</v>
      </c>
      <c r="H16" s="19" t="n">
        <v>49.95</v>
      </c>
      <c r="I16" s="17" t="s">
        <v>48</v>
      </c>
      <c r="J16" s="20" t="n">
        <f aca="false">IF(H16="","",H16*INDEX(FX!$B$5:$B$8,MATCH(I16,FX!$A$5:$A$8,0)))</f>
        <v>53.4465</v>
      </c>
      <c r="K16" s="17" t="s">
        <v>451</v>
      </c>
      <c r="L16" s="21" t="n">
        <v>46079</v>
      </c>
      <c r="M16" s="22" t="n">
        <f aca="false">IF(L16="","",'Read me'!$B$3-L16)</f>
        <v>221</v>
      </c>
      <c r="N16" s="23" t="n">
        <v>3</v>
      </c>
      <c r="O16" s="23" t="n">
        <v>3</v>
      </c>
      <c r="P16" s="21" t="n">
        <v>46079</v>
      </c>
      <c r="Q16" s="22" t="n">
        <f aca="false">IF(P16="","",'Read me'!$B$3-P16)</f>
        <v>221</v>
      </c>
      <c r="R16" s="17"/>
    </row>
  </sheetData>
  <hyperlinks>
    <hyperlink ref="C5" r:id="rId1" display="https://lynae.co"/>
    <hyperlink ref="D5" r:id="rId2" display="Open Ad Library"/>
    <hyperlink ref="C6" r:id="rId3" display="https://harmova.com"/>
    <hyperlink ref="D6" r:id="rId4" display="Open Ad Library"/>
    <hyperlink ref="C7" r:id="rId5" display="https://luxeol.com"/>
    <hyperlink ref="D7" r:id="rId6" display="Open Ad Library"/>
    <hyperlink ref="C8" r:id="rId7" display="https://purazell.de"/>
    <hyperlink ref="D8" r:id="rId8" display="Open Ad Library"/>
    <hyperlink ref="C9" r:id="rId9" display="https://herbano.com/ch"/>
    <hyperlink ref="D9" r:id="rId10" display="Open Ad Library"/>
    <hyperlink ref="C10" r:id="rId11" display="https://www.feelgood-shop.com"/>
    <hyperlink ref="D10" r:id="rId12" display="Open Ad Library"/>
    <hyperlink ref="C11" r:id="rId13" display="https://kanela.ch"/>
    <hyperlink ref="D11" r:id="rId14" display="Open Ad Library"/>
    <hyperlink ref="C12" r:id="rId15" display="https://www.nurnatur.ch"/>
    <hyperlink ref="D12" r:id="rId16" display="Open Ad Library"/>
    <hyperlink ref="C13" r:id="rId17" display="https://www.magnesium-biomed.ch"/>
    <hyperlink ref="D13" r:id="rId18" display="Open Ad Library"/>
    <hyperlink ref="C14" r:id="rId19" display="https://bodysport.ch"/>
    <hyperlink ref="D14" r:id="rId20" display="Open Ad Library"/>
    <hyperlink ref="C15" r:id="rId21" display="https://www.plantavis.ch"/>
    <hyperlink ref="D15" r:id="rId22" display="Open Ad Library"/>
    <hyperlink ref="C16" r:id="rId23" display="https://helvilab.com"/>
    <hyperlink ref="D16" r:id="rId24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452</v>
      </c>
    </row>
    <row r="2" customFormat="false" ht="15" hidden="false" customHeight="false" outlineLevel="0" collapsed="false">
      <c r="A2" s="16" t="s">
        <v>70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42" hidden="false" customHeight="true" outlineLevel="0" collapsed="false">
      <c r="A5" s="17" t="n">
        <v>1</v>
      </c>
      <c r="B5" s="17" t="s">
        <v>453</v>
      </c>
      <c r="C5" s="18" t="s">
        <v>454</v>
      </c>
      <c r="D5" s="18" t="s">
        <v>85</v>
      </c>
      <c r="E5" s="17" t="s">
        <v>455</v>
      </c>
      <c r="F5" s="17" t="s">
        <v>93</v>
      </c>
      <c r="G5" s="17" t="s">
        <v>456</v>
      </c>
      <c r="H5" s="19" t="n">
        <v>41</v>
      </c>
      <c r="I5" s="17" t="s">
        <v>50</v>
      </c>
      <c r="J5" s="20" t="n">
        <f aca="false">IF(H5="","",H5*INDEX(FX!$B$5:$B$8,MATCH(I5,FX!$A$5:$A$8,0)))</f>
        <v>37.72</v>
      </c>
      <c r="K5" s="17" t="s">
        <v>457</v>
      </c>
      <c r="L5" s="21" t="n">
        <v>45796</v>
      </c>
      <c r="M5" s="22" t="n">
        <f aca="false">IF(L5="","",'Read me'!$B$3-L5)</f>
        <v>504</v>
      </c>
      <c r="N5" s="23" t="n">
        <v>4283</v>
      </c>
      <c r="O5" s="23" t="n">
        <v>531</v>
      </c>
      <c r="P5" s="21" t="n">
        <v>46055</v>
      </c>
      <c r="Q5" s="22" t="n">
        <f aca="false">IF(P5="","",'Read me'!$B$3-P5)</f>
        <v>245</v>
      </c>
      <c r="R5" s="17" t="s">
        <v>458</v>
      </c>
    </row>
    <row r="6" customFormat="false" ht="28.5" hidden="false" customHeight="true" outlineLevel="0" collapsed="false">
      <c r="A6" s="17" t="n">
        <v>2</v>
      </c>
      <c r="B6" s="17" t="s">
        <v>459</v>
      </c>
      <c r="C6" s="18" t="s">
        <v>460</v>
      </c>
      <c r="D6" s="18" t="s">
        <v>85</v>
      </c>
      <c r="E6" s="17" t="s">
        <v>461</v>
      </c>
      <c r="F6" s="17" t="s">
        <v>93</v>
      </c>
      <c r="G6" s="17" t="s">
        <v>462</v>
      </c>
      <c r="H6" s="19" t="n">
        <v>19.8</v>
      </c>
      <c r="I6" s="17" t="s">
        <v>50</v>
      </c>
      <c r="J6" s="20" t="n">
        <f aca="false">IF(H6="","",H6*INDEX(FX!$B$5:$B$8,MATCH(I6,FX!$A$5:$A$8,0)))</f>
        <v>18.216</v>
      </c>
      <c r="K6" s="17" t="s">
        <v>463</v>
      </c>
      <c r="L6" s="21" t="n">
        <v>45893</v>
      </c>
      <c r="M6" s="22" t="n">
        <f aca="false">IF(L6="","",'Read me'!$B$3-L6)</f>
        <v>407</v>
      </c>
      <c r="N6" s="23" t="n">
        <v>3890</v>
      </c>
      <c r="O6" s="23" t="n">
        <v>190</v>
      </c>
      <c r="P6" s="21" t="n">
        <v>46092</v>
      </c>
      <c r="Q6" s="22" t="n">
        <f aca="false">IF(P6="","",'Read me'!$B$3-P6)</f>
        <v>208</v>
      </c>
      <c r="R6" s="17" t="s">
        <v>464</v>
      </c>
    </row>
    <row r="7" customFormat="false" ht="28.5" hidden="false" customHeight="true" outlineLevel="0" collapsed="false">
      <c r="A7" s="17" t="n">
        <v>3</v>
      </c>
      <c r="B7" s="17" t="s">
        <v>465</v>
      </c>
      <c r="C7" s="18" t="s">
        <v>466</v>
      </c>
      <c r="D7" s="18" t="s">
        <v>85</v>
      </c>
      <c r="E7" s="17" t="s">
        <v>467</v>
      </c>
      <c r="F7" s="17" t="s">
        <v>93</v>
      </c>
      <c r="G7" s="17" t="s">
        <v>468</v>
      </c>
      <c r="H7" s="19" t="n">
        <v>39</v>
      </c>
      <c r="I7" s="17" t="s">
        <v>50</v>
      </c>
      <c r="J7" s="20" t="n">
        <f aca="false">IF(H7="","",H7*INDEX(FX!$B$5:$B$8,MATCH(I7,FX!$A$5:$A$8,0)))</f>
        <v>35.88</v>
      </c>
      <c r="K7" s="17" t="s">
        <v>469</v>
      </c>
      <c r="L7" s="21" t="n">
        <v>46258</v>
      </c>
      <c r="M7" s="22" t="n">
        <f aca="false">IF(L7="","",'Read me'!$B$3-L7)</f>
        <v>42</v>
      </c>
      <c r="N7" s="23" t="n">
        <v>814</v>
      </c>
      <c r="O7" s="23" t="n">
        <v>429</v>
      </c>
      <c r="P7" s="21" t="n">
        <v>46282</v>
      </c>
      <c r="Q7" s="22" t="n">
        <f aca="false">IF(P7="","",'Read me'!$B$3-P7)</f>
        <v>18</v>
      </c>
      <c r="R7" s="17" t="s">
        <v>470</v>
      </c>
    </row>
    <row r="8" customFormat="false" ht="42" hidden="false" customHeight="true" outlineLevel="0" collapsed="false">
      <c r="A8" s="17" t="n">
        <v>4</v>
      </c>
      <c r="B8" s="17" t="s">
        <v>471</v>
      </c>
      <c r="C8" s="18" t="s">
        <v>472</v>
      </c>
      <c r="D8" s="18" t="s">
        <v>85</v>
      </c>
      <c r="E8" s="17" t="s">
        <v>473</v>
      </c>
      <c r="F8" s="17" t="s">
        <v>474</v>
      </c>
      <c r="G8" s="17" t="s">
        <v>475</v>
      </c>
      <c r="H8" s="19" t="n">
        <v>27.94</v>
      </c>
      <c r="I8" s="17" t="s">
        <v>47</v>
      </c>
      <c r="J8" s="20" t="n">
        <f aca="false">IF(H8="","",H8*INDEX(FX!$B$5:$B$8,MATCH(I8,FX!$A$5:$A$8,0)))</f>
        <v>27.94</v>
      </c>
      <c r="K8" s="17" t="s">
        <v>476</v>
      </c>
      <c r="L8" s="21" t="n">
        <v>45931</v>
      </c>
      <c r="M8" s="22" t="n">
        <f aca="false">IF(L8="","",'Read me'!$B$3-L8)</f>
        <v>369</v>
      </c>
      <c r="N8" s="23" t="n">
        <v>552</v>
      </c>
      <c r="O8" s="23" t="n">
        <v>38</v>
      </c>
      <c r="P8" s="21" t="n">
        <v>46239</v>
      </c>
      <c r="Q8" s="22" t="n">
        <f aca="false">IF(P8="","",'Read me'!$B$3-P8)</f>
        <v>61</v>
      </c>
      <c r="R8" s="17"/>
    </row>
    <row r="9" customFormat="false" ht="42" hidden="false" customHeight="true" outlineLevel="0" collapsed="false">
      <c r="A9" s="17" t="n">
        <v>5</v>
      </c>
      <c r="B9" s="17" t="s">
        <v>477</v>
      </c>
      <c r="C9" s="18" t="s">
        <v>478</v>
      </c>
      <c r="D9" s="18" t="s">
        <v>85</v>
      </c>
      <c r="E9" s="17" t="s">
        <v>479</v>
      </c>
      <c r="F9" s="17" t="s">
        <v>93</v>
      </c>
      <c r="G9" s="17" t="s">
        <v>480</v>
      </c>
      <c r="H9" s="19" t="n">
        <v>34</v>
      </c>
      <c r="I9" s="17" t="s">
        <v>47</v>
      </c>
      <c r="J9" s="20" t="n">
        <f aca="false">IF(H9="","",H9*INDEX(FX!$B$5:$B$8,MATCH(I9,FX!$A$5:$A$8,0)))</f>
        <v>34</v>
      </c>
      <c r="K9" s="17" t="s">
        <v>481</v>
      </c>
      <c r="L9" s="21" t="n">
        <v>45928</v>
      </c>
      <c r="M9" s="22" t="n">
        <f aca="false">IF(L9="","",'Read me'!$B$3-L9)</f>
        <v>372</v>
      </c>
      <c r="N9" s="23" t="n">
        <v>412</v>
      </c>
      <c r="O9" s="23" t="n">
        <v>89</v>
      </c>
      <c r="P9" s="21" t="n">
        <v>46215</v>
      </c>
      <c r="Q9" s="22" t="n">
        <f aca="false">IF(P9="","",'Read me'!$B$3-P9)</f>
        <v>85</v>
      </c>
      <c r="R9" s="17"/>
    </row>
    <row r="10" customFormat="false" ht="28.5" hidden="false" customHeight="true" outlineLevel="0" collapsed="false">
      <c r="A10" s="17" t="n">
        <v>6</v>
      </c>
      <c r="B10" s="17" t="s">
        <v>482</v>
      </c>
      <c r="C10" s="18" t="s">
        <v>483</v>
      </c>
      <c r="D10" s="18" t="s">
        <v>85</v>
      </c>
      <c r="E10" s="17" t="s">
        <v>484</v>
      </c>
      <c r="F10" s="17" t="s">
        <v>485</v>
      </c>
      <c r="G10" s="17" t="s">
        <v>486</v>
      </c>
      <c r="H10" s="19" t="n">
        <v>60</v>
      </c>
      <c r="I10" s="17" t="s">
        <v>49</v>
      </c>
      <c r="J10" s="20" t="n">
        <f aca="false">IF(H10="","",H10*INDEX(FX!$B$5:$B$8,MATCH(I10,FX!$A$5:$A$8,0)))</f>
        <v>70.2</v>
      </c>
      <c r="K10" s="17" t="s">
        <v>487</v>
      </c>
      <c r="L10" s="21" t="n">
        <v>44923</v>
      </c>
      <c r="M10" s="22" t="n">
        <f aca="false">IF(L10="","",'Read me'!$B$3-L10)</f>
        <v>1377</v>
      </c>
      <c r="N10" s="23" t="n">
        <v>263</v>
      </c>
      <c r="O10" s="23" t="n">
        <v>71</v>
      </c>
      <c r="P10" s="21" t="n">
        <v>45499</v>
      </c>
      <c r="Q10" s="22" t="n">
        <f aca="false">IF(P10="","",'Read me'!$B$3-P10)</f>
        <v>801</v>
      </c>
      <c r="R10" s="17" t="s">
        <v>488</v>
      </c>
    </row>
    <row r="11" customFormat="false" ht="28.5" hidden="false" customHeight="true" outlineLevel="0" collapsed="false">
      <c r="A11" s="17" t="n">
        <v>7</v>
      </c>
      <c r="B11" s="17" t="s">
        <v>489</v>
      </c>
      <c r="C11" s="18" t="s">
        <v>490</v>
      </c>
      <c r="D11" s="18" t="s">
        <v>85</v>
      </c>
      <c r="E11" s="17" t="s">
        <v>491</v>
      </c>
      <c r="F11" s="17" t="s">
        <v>175</v>
      </c>
      <c r="G11" s="17"/>
      <c r="H11" s="19"/>
      <c r="I11" s="17" t="s">
        <v>47</v>
      </c>
      <c r="J11" s="20" t="str">
        <f aca="false">IF(H11="","",H11*INDEX(FX!$B$5:$B$8,MATCH(I11,FX!$A$5:$A$8,0)))</f>
        <v/>
      </c>
      <c r="K11" s="17" t="s">
        <v>492</v>
      </c>
      <c r="L11" s="21" t="n">
        <v>45967</v>
      </c>
      <c r="M11" s="22" t="n">
        <f aca="false">IF(L11="","",'Read me'!$B$3-L11)</f>
        <v>333</v>
      </c>
      <c r="N11" s="23" t="n">
        <v>192</v>
      </c>
      <c r="O11" s="23" t="n">
        <v>18</v>
      </c>
      <c r="P11" s="21" t="n">
        <v>46154</v>
      </c>
      <c r="Q11" s="22" t="n">
        <f aca="false">IF(P11="","",'Read me'!$B$3-P11)</f>
        <v>146</v>
      </c>
      <c r="R11" s="17"/>
    </row>
    <row r="12" customFormat="false" ht="28.5" hidden="false" customHeight="true" outlineLevel="0" collapsed="false">
      <c r="A12" s="17" t="n">
        <v>8</v>
      </c>
      <c r="B12" s="17" t="s">
        <v>493</v>
      </c>
      <c r="C12" s="18" t="s">
        <v>494</v>
      </c>
      <c r="D12" s="18" t="s">
        <v>85</v>
      </c>
      <c r="E12" s="17" t="s">
        <v>495</v>
      </c>
      <c r="F12" s="17" t="s">
        <v>175</v>
      </c>
      <c r="G12" s="17"/>
      <c r="H12" s="19"/>
      <c r="I12" s="17" t="s">
        <v>47</v>
      </c>
      <c r="J12" s="20" t="str">
        <f aca="false">IF(H12="","",H12*INDEX(FX!$B$5:$B$8,MATCH(I12,FX!$A$5:$A$8,0)))</f>
        <v/>
      </c>
      <c r="K12" s="17" t="s">
        <v>496</v>
      </c>
      <c r="L12" s="21" t="n">
        <v>45937</v>
      </c>
      <c r="M12" s="22" t="n">
        <f aca="false">IF(L12="","",'Read me'!$B$3-L12)</f>
        <v>363</v>
      </c>
      <c r="N12" s="23" t="n">
        <v>33</v>
      </c>
      <c r="O12" s="23" t="n">
        <v>4</v>
      </c>
      <c r="P12" s="21" t="n">
        <v>46064</v>
      </c>
      <c r="Q12" s="22" t="n">
        <f aca="false">IF(P12="","",'Read me'!$B$3-P12)</f>
        <v>236</v>
      </c>
      <c r="R12" s="17" t="s">
        <v>497</v>
      </c>
    </row>
  </sheetData>
  <hyperlinks>
    <hyperlink ref="C5" r:id="rId1" display="https://novomins.com"/>
    <hyperlink ref="D5" r:id="rId2" display="Open Ad Library"/>
    <hyperlink ref="C6" r:id="rId3" display="https://www.beleaze.com"/>
    <hyperlink ref="D6" r:id="rId4" display="Open Ad Library"/>
    <hyperlink ref="C7" r:id="rId5" display="https://ultimapeak.com"/>
    <hyperlink ref="D7" r:id="rId6" display="Open Ad Library"/>
    <hyperlink ref="C8" r:id="rId7" display="https://www.hollandandbarrett.ie"/>
    <hyperlink ref="D8" r:id="rId8" display="Open Ad Library"/>
    <hyperlink ref="C9" r:id="rId9" display="https://maclir.co"/>
    <hyperlink ref="D9" r:id="rId10" display="Open Ad Library"/>
    <hyperlink ref="C10" r:id="rId11" display="https://www.vegetology.com"/>
    <hyperlink ref="D10" r:id="rId12" display="Open Ad Library"/>
    <hyperlink ref="C11" r:id="rId13" display="https://igennus.com"/>
    <hyperlink ref="D11" r:id="rId14" display="Open Ad Library"/>
    <hyperlink ref="C12" r:id="rId15" display="https://wholeworldbotanicals.com"/>
    <hyperlink ref="D12" r:id="rId16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48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42"/>
  </cols>
  <sheetData>
    <row r="1" customFormat="false" ht="16.15" hidden="false" customHeight="false" outlineLevel="0" collapsed="false">
      <c r="A1" s="10" t="s">
        <v>498</v>
      </c>
    </row>
    <row r="2" customFormat="false" ht="15" hidden="false" customHeight="false" outlineLevel="0" collapsed="false">
      <c r="A2" s="16" t="s">
        <v>179</v>
      </c>
    </row>
    <row r="4" customFormat="false" ht="42" hidden="false" customHeight="true" outlineLevel="0" collapsed="false">
      <c r="A4" s="11" t="s">
        <v>71</v>
      </c>
      <c r="B4" s="11" t="s">
        <v>72</v>
      </c>
      <c r="C4" s="11" t="s">
        <v>5</v>
      </c>
      <c r="D4" s="11" t="s">
        <v>7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45</v>
      </c>
      <c r="J4" s="11" t="s">
        <v>77</v>
      </c>
      <c r="K4" s="11" t="s">
        <v>11</v>
      </c>
      <c r="L4" s="11" t="s">
        <v>78</v>
      </c>
      <c r="M4" s="11" t="s">
        <v>79</v>
      </c>
      <c r="N4" s="11" t="s">
        <v>80</v>
      </c>
      <c r="O4" s="11" t="s">
        <v>17</v>
      </c>
      <c r="P4" s="11" t="s">
        <v>19</v>
      </c>
      <c r="Q4" s="11" t="s">
        <v>81</v>
      </c>
      <c r="R4" s="11" t="s">
        <v>82</v>
      </c>
    </row>
    <row r="5" customFormat="false" ht="28.5" hidden="false" customHeight="true" outlineLevel="0" collapsed="false">
      <c r="A5" s="17" t="n">
        <v>1</v>
      </c>
      <c r="B5" s="17" t="s">
        <v>145</v>
      </c>
      <c r="C5" s="18" t="s">
        <v>146</v>
      </c>
      <c r="D5" s="18" t="s">
        <v>85</v>
      </c>
      <c r="E5" s="17" t="s">
        <v>499</v>
      </c>
      <c r="F5" s="17" t="s">
        <v>93</v>
      </c>
      <c r="G5" s="17" t="s">
        <v>148</v>
      </c>
      <c r="H5" s="19" t="n">
        <v>49.9</v>
      </c>
      <c r="I5" s="17" t="s">
        <v>47</v>
      </c>
      <c r="J5" s="20" t="n">
        <f aca="false">IF(H5="","",H5*INDEX(FX!$B$5:$B$8,MATCH(I5,FX!$A$5:$A$8,0)))</f>
        <v>49.9</v>
      </c>
      <c r="K5" s="17" t="s">
        <v>500</v>
      </c>
      <c r="L5" s="21" t="n">
        <v>44166</v>
      </c>
      <c r="M5" s="22" t="n">
        <f aca="false">IF(L5="","",'Read me'!$B$3-L5)</f>
        <v>2134</v>
      </c>
      <c r="N5" s="23" t="n">
        <v>2693</v>
      </c>
      <c r="O5" s="23" t="n">
        <v>218</v>
      </c>
      <c r="P5" s="21" t="n">
        <v>46034</v>
      </c>
      <c r="Q5" s="22" t="n">
        <f aca="false">IF(P5="","",'Read me'!$B$3-P5)</f>
        <v>266</v>
      </c>
      <c r="R5" s="17" t="s">
        <v>501</v>
      </c>
    </row>
    <row r="6" customFormat="false" ht="28.5" hidden="false" customHeight="true" outlineLevel="0" collapsed="false">
      <c r="A6" s="17" t="n">
        <v>2</v>
      </c>
      <c r="B6" s="17" t="s">
        <v>502</v>
      </c>
      <c r="C6" s="18" t="s">
        <v>503</v>
      </c>
      <c r="D6" s="18" t="s">
        <v>85</v>
      </c>
      <c r="E6" s="17" t="s">
        <v>504</v>
      </c>
      <c r="F6" s="17" t="s">
        <v>175</v>
      </c>
      <c r="G6" s="17" t="s">
        <v>505</v>
      </c>
      <c r="H6" s="19" t="n">
        <v>33.95</v>
      </c>
      <c r="I6" s="17" t="s">
        <v>47</v>
      </c>
      <c r="J6" s="20" t="n">
        <f aca="false">IF(H6="","",H6*INDEX(FX!$B$5:$B$8,MATCH(I6,FX!$A$5:$A$8,0)))</f>
        <v>33.95</v>
      </c>
      <c r="K6" s="17" t="s">
        <v>506</v>
      </c>
      <c r="L6" s="21" t="n">
        <v>45694</v>
      </c>
      <c r="M6" s="22" t="n">
        <f aca="false">IF(L6="","",'Read me'!$B$3-L6)</f>
        <v>606</v>
      </c>
      <c r="N6" s="23" t="n">
        <v>2078</v>
      </c>
      <c r="O6" s="23" t="n">
        <v>265</v>
      </c>
      <c r="P6" s="21" t="n">
        <v>46048</v>
      </c>
      <c r="Q6" s="22" t="n">
        <f aca="false">IF(P6="","",'Read me'!$B$3-P6)</f>
        <v>252</v>
      </c>
      <c r="R6" s="17"/>
    </row>
    <row r="7" customFormat="false" ht="28.5" hidden="false" customHeight="true" outlineLevel="0" collapsed="false">
      <c r="A7" s="17" t="n">
        <v>3</v>
      </c>
      <c r="B7" s="17" t="s">
        <v>507</v>
      </c>
      <c r="C7" s="18" t="s">
        <v>508</v>
      </c>
      <c r="D7" s="18" t="s">
        <v>85</v>
      </c>
      <c r="E7" s="17" t="s">
        <v>509</v>
      </c>
      <c r="F7" s="17" t="s">
        <v>510</v>
      </c>
      <c r="G7" s="17" t="s">
        <v>511</v>
      </c>
      <c r="H7" s="19" t="n">
        <v>39.9</v>
      </c>
      <c r="I7" s="17" t="s">
        <v>47</v>
      </c>
      <c r="J7" s="20" t="n">
        <f aca="false">IF(H7="","",H7*INDEX(FX!$B$5:$B$8,MATCH(I7,FX!$A$5:$A$8,0)))</f>
        <v>39.9</v>
      </c>
      <c r="K7" s="17" t="s">
        <v>512</v>
      </c>
      <c r="L7" s="21" t="n">
        <v>45847</v>
      </c>
      <c r="M7" s="22" t="n">
        <f aca="false">IF(L7="","",'Read me'!$B$3-L7)</f>
        <v>453</v>
      </c>
      <c r="N7" s="23" t="n">
        <v>1407</v>
      </c>
      <c r="O7" s="23" t="n">
        <v>244</v>
      </c>
      <c r="P7" s="21" t="n">
        <v>45932</v>
      </c>
      <c r="Q7" s="22" t="n">
        <f aca="false">IF(P7="","",'Read me'!$B$3-P7)</f>
        <v>368</v>
      </c>
      <c r="R7" s="17"/>
    </row>
    <row r="8" customFormat="false" ht="28.5" hidden="false" customHeight="true" outlineLevel="0" collapsed="false">
      <c r="A8" s="17" t="n">
        <v>4</v>
      </c>
      <c r="B8" s="17" t="s">
        <v>513</v>
      </c>
      <c r="C8" s="18" t="s">
        <v>514</v>
      </c>
      <c r="D8" s="18" t="s">
        <v>85</v>
      </c>
      <c r="E8" s="17" t="s">
        <v>515</v>
      </c>
      <c r="F8" s="17" t="s">
        <v>175</v>
      </c>
      <c r="G8" s="17" t="s">
        <v>516</v>
      </c>
      <c r="H8" s="19" t="n">
        <v>17.8</v>
      </c>
      <c r="I8" s="17" t="s">
        <v>47</v>
      </c>
      <c r="J8" s="20" t="n">
        <f aca="false">IF(H8="","",H8*INDEX(FX!$B$5:$B$8,MATCH(I8,FX!$A$5:$A$8,0)))</f>
        <v>17.8</v>
      </c>
      <c r="K8" s="17" t="s">
        <v>517</v>
      </c>
      <c r="L8" s="21" t="n">
        <v>45469</v>
      </c>
      <c r="M8" s="22" t="n">
        <f aca="false">IF(L8="","",'Read me'!$B$3-L8)</f>
        <v>831</v>
      </c>
      <c r="N8" s="23" t="n">
        <v>1065</v>
      </c>
      <c r="O8" s="23" t="n">
        <v>390</v>
      </c>
      <c r="P8" s="21" t="n">
        <v>45558</v>
      </c>
      <c r="Q8" s="22" t="n">
        <f aca="false">IF(P8="","",'Read me'!$B$3-P8)</f>
        <v>742</v>
      </c>
      <c r="R8" s="17"/>
    </row>
    <row r="9" customFormat="false" ht="28.5" hidden="false" customHeight="true" outlineLevel="0" collapsed="false">
      <c r="A9" s="17" t="n">
        <v>5</v>
      </c>
      <c r="B9" s="17" t="s">
        <v>518</v>
      </c>
      <c r="C9" s="18" t="s">
        <v>519</v>
      </c>
      <c r="D9" s="18" t="s">
        <v>85</v>
      </c>
      <c r="E9" s="17" t="s">
        <v>520</v>
      </c>
      <c r="F9" s="17" t="s">
        <v>175</v>
      </c>
      <c r="G9" s="17"/>
      <c r="H9" s="19"/>
      <c r="I9" s="17" t="s">
        <v>47</v>
      </c>
      <c r="J9" s="20" t="str">
        <f aca="false">IF(H9="","",H9*INDEX(FX!$B$5:$B$8,MATCH(I9,FX!$A$5:$A$8,0)))</f>
        <v/>
      </c>
      <c r="K9" s="17"/>
      <c r="L9" s="21" t="n">
        <v>46198</v>
      </c>
      <c r="M9" s="22" t="n">
        <f aca="false">IF(L9="","",'Read me'!$B$3-L9)</f>
        <v>102</v>
      </c>
      <c r="N9" s="23" t="n">
        <v>475</v>
      </c>
      <c r="O9" s="23" t="n">
        <v>45</v>
      </c>
      <c r="P9" s="21" t="n">
        <v>46295</v>
      </c>
      <c r="Q9" s="22" t="n">
        <f aca="false">IF(P9="","",'Read me'!$B$3-P9)</f>
        <v>5</v>
      </c>
      <c r="R9" s="17" t="s">
        <v>521</v>
      </c>
    </row>
    <row r="10" customFormat="false" ht="28.5" hidden="false" customHeight="true" outlineLevel="0" collapsed="false">
      <c r="A10" s="17" t="n">
        <v>6</v>
      </c>
      <c r="B10" s="17" t="s">
        <v>522</v>
      </c>
      <c r="C10" s="18" t="s">
        <v>523</v>
      </c>
      <c r="D10" s="18" t="s">
        <v>85</v>
      </c>
      <c r="E10" s="17" t="s">
        <v>524</v>
      </c>
      <c r="F10" s="17" t="s">
        <v>111</v>
      </c>
      <c r="G10" s="17" t="s">
        <v>525</v>
      </c>
      <c r="H10" s="19" t="n">
        <v>19.9</v>
      </c>
      <c r="I10" s="17" t="s">
        <v>47</v>
      </c>
      <c r="J10" s="20" t="n">
        <f aca="false">IF(H10="","",H10*INDEX(FX!$B$5:$B$8,MATCH(I10,FX!$A$5:$A$8,0)))</f>
        <v>19.9</v>
      </c>
      <c r="K10" s="17" t="s">
        <v>526</v>
      </c>
      <c r="L10" s="21" t="n">
        <v>45814</v>
      </c>
      <c r="M10" s="22" t="n">
        <f aca="false">IF(L10="","",'Read me'!$B$3-L10)</f>
        <v>486</v>
      </c>
      <c r="N10" s="23" t="n">
        <v>376</v>
      </c>
      <c r="O10" s="23" t="n">
        <v>115</v>
      </c>
      <c r="P10" s="21" t="n">
        <v>46203</v>
      </c>
      <c r="Q10" s="22" t="n">
        <f aca="false">IF(P10="","",'Read me'!$B$3-P10)</f>
        <v>97</v>
      </c>
      <c r="R10" s="17"/>
    </row>
    <row r="11" customFormat="false" ht="28.5" hidden="false" customHeight="true" outlineLevel="0" collapsed="false">
      <c r="A11" s="17" t="n">
        <v>7</v>
      </c>
      <c r="B11" s="17" t="s">
        <v>527</v>
      </c>
      <c r="C11" s="18" t="s">
        <v>528</v>
      </c>
      <c r="D11" s="18" t="s">
        <v>85</v>
      </c>
      <c r="E11" s="17" t="s">
        <v>529</v>
      </c>
      <c r="F11" s="17" t="s">
        <v>111</v>
      </c>
      <c r="G11" s="17" t="s">
        <v>530</v>
      </c>
      <c r="H11" s="19" t="n">
        <v>9.95</v>
      </c>
      <c r="I11" s="17" t="s">
        <v>47</v>
      </c>
      <c r="J11" s="20" t="n">
        <f aca="false">IF(H11="","",H11*INDEX(FX!$B$5:$B$8,MATCH(I11,FX!$A$5:$A$8,0)))</f>
        <v>9.95</v>
      </c>
      <c r="K11" s="17" t="s">
        <v>531</v>
      </c>
      <c r="L11" s="21" t="n">
        <v>45930</v>
      </c>
      <c r="M11" s="22" t="n">
        <f aca="false">IF(L11="","",'Read me'!$B$3-L11)</f>
        <v>370</v>
      </c>
      <c r="N11" s="23" t="n">
        <v>345</v>
      </c>
      <c r="O11" s="23" t="n">
        <v>55</v>
      </c>
      <c r="P11" s="21" t="n">
        <v>46204</v>
      </c>
      <c r="Q11" s="22" t="n">
        <f aca="false">IF(P11="","",'Read me'!$B$3-P11)</f>
        <v>96</v>
      </c>
      <c r="R11" s="17"/>
    </row>
    <row r="12" customFormat="false" ht="42" hidden="false" customHeight="true" outlineLevel="0" collapsed="false">
      <c r="A12" s="17" t="n">
        <v>8</v>
      </c>
      <c r="B12" s="17" t="s">
        <v>532</v>
      </c>
      <c r="C12" s="18" t="s">
        <v>533</v>
      </c>
      <c r="D12" s="18" t="s">
        <v>85</v>
      </c>
      <c r="E12" s="17" t="s">
        <v>534</v>
      </c>
      <c r="F12" s="17" t="s">
        <v>93</v>
      </c>
      <c r="G12" s="17" t="s">
        <v>535</v>
      </c>
      <c r="H12" s="19" t="n">
        <v>29</v>
      </c>
      <c r="I12" s="17" t="s">
        <v>47</v>
      </c>
      <c r="J12" s="20" t="n">
        <f aca="false">IF(H12="","",H12*INDEX(FX!$B$5:$B$8,MATCH(I12,FX!$A$5:$A$8,0)))</f>
        <v>29</v>
      </c>
      <c r="K12" s="17" t="s">
        <v>536</v>
      </c>
      <c r="L12" s="21" t="n">
        <v>46096</v>
      </c>
      <c r="M12" s="22" t="n">
        <f aca="false">IF(L12="","",'Read me'!$B$3-L12)</f>
        <v>204</v>
      </c>
      <c r="N12" s="23" t="n">
        <v>111</v>
      </c>
      <c r="O12" s="23" t="n">
        <v>11</v>
      </c>
      <c r="P12" s="21" t="n">
        <v>46300</v>
      </c>
      <c r="Q12" s="22" t="n">
        <f aca="false">IF(P12="","",'Read me'!$B$3-P12)</f>
        <v>0</v>
      </c>
      <c r="R12" s="17"/>
    </row>
    <row r="13" customFormat="false" ht="28.5" hidden="false" customHeight="true" outlineLevel="0" collapsed="false">
      <c r="A13" s="17" t="n">
        <v>9</v>
      </c>
      <c r="B13" s="17" t="s">
        <v>537</v>
      </c>
      <c r="C13" s="18" t="s">
        <v>538</v>
      </c>
      <c r="D13" s="18" t="s">
        <v>85</v>
      </c>
      <c r="E13" s="17" t="s">
        <v>539</v>
      </c>
      <c r="F13" s="17" t="s">
        <v>540</v>
      </c>
      <c r="G13" s="17"/>
      <c r="H13" s="19"/>
      <c r="I13" s="17" t="s">
        <v>47</v>
      </c>
      <c r="J13" s="20" t="str">
        <f aca="false">IF(H13="","",H13*INDEX(FX!$B$5:$B$8,MATCH(I13,FX!$A$5:$A$8,0)))</f>
        <v/>
      </c>
      <c r="K13" s="17"/>
      <c r="L13" s="21" t="n">
        <v>45931</v>
      </c>
      <c r="M13" s="22" t="n">
        <f aca="false">IF(L13="","",'Read me'!$B$3-L13)</f>
        <v>369</v>
      </c>
      <c r="N13" s="23" t="n">
        <v>30</v>
      </c>
      <c r="O13" s="23" t="n">
        <v>13</v>
      </c>
      <c r="P13" s="21" t="n">
        <v>46176</v>
      </c>
      <c r="Q13" s="22" t="n">
        <f aca="false">IF(P13="","",'Read me'!$B$3-P13)</f>
        <v>124</v>
      </c>
      <c r="R13" s="17" t="s">
        <v>541</v>
      </c>
    </row>
  </sheetData>
  <hyperlinks>
    <hyperlink ref="C5" r:id="rId1" display="https://www.bears-with-benefits.com"/>
    <hyperlink ref="D5" r:id="rId2" display="Open Ad Library"/>
    <hyperlink ref="C6" r:id="rId3" display="https://www.tisso.de"/>
    <hyperlink ref="D6" r:id="rId4" display="Open Ad Library"/>
    <hyperlink ref="C7" r:id="rId5" display="https://vitafant.com"/>
    <hyperlink ref="D7" r:id="rId6" display="Open Ad Library"/>
    <hyperlink ref="C8" r:id="rId7" display="https://www.purecaps.net"/>
    <hyperlink ref="D8" r:id="rId8" display="Open Ad Library"/>
    <hyperlink ref="C9" r:id="rId9" display="https://www.bellunova.com/1001-mx-vir/adv"/>
    <hyperlink ref="D9" r:id="rId10" display="Open Ad Library"/>
    <hyperlink ref="C10" r:id="rId11" display="https://formmed.de"/>
    <hyperlink ref="D10" r:id="rId12" display="Open Ad Library"/>
    <hyperlink ref="C11" r:id="rId13" display="https://www.vitaepro.at"/>
    <hyperlink ref="D11" r:id="rId14" display="Open Ad Library"/>
    <hyperlink ref="C12" r:id="rId15" display="https://de.forte-natura.com"/>
    <hyperlink ref="D12" r:id="rId16" display="Open Ad Library"/>
    <hyperlink ref="C13" r:id="rId17" display="https://www.supradyn.at"/>
    <hyperlink ref="D13" r:id="rId18" display="Open Ad Libr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2026-10-06T00:11:26Z</dcterms:created>
  <dc:creator>openpyxl</dc:creator>
  <dc:description/>
  <dc:language>en-US</dc:language>
  <cp:lastModifiedBy/>
  <dcterms:modified xsi:type="dcterms:W3CDTF">2026-10-06T00:11:26Z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
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How to use" sheetId="1" state="visible" r:id="rId3"/>
    <sheet name="Products" sheetId="2" state="visible" r:id="rId4"/>
    <sheet name="Summary" sheetId="3" state="visible" r:id="rId5"/>
    <sheet name="FX" sheetId="4" state="visible" r:id="rId6"/>
  </sheets>
  <definedNames>
    <definedName function="false" hidden="true" localSheetId="1" name="_xlnm._FilterDatabase" vbProcedure="false">Products!$A$2:$AB$21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I2" authorId="0">
      <text>
        <r>
          <rPr>
            <sz val="10"/>
            <rFont val="Arial"/>
            <family val="2"/>
          </rPr>
          <t xml:space="preserve">Fill in: click the Meta Ad Library link in column H and type the '~X results' number. Couldn't be counted automatically because Meta Ad Library is blocked from the research session.</t>
        </r>
      </text>
    </comment>
    <comment ref="M2" authorId="0">
      <text>
        <r>
          <rPr>
            <sz val="10"/>
            <rFont val="Arial"/>
            <family val="2"/>
          </rPr>
          <t xml:space="preserve">Converted with the approximate rates on the FX sheet.</t>
        </r>
      </text>
    </comment>
  </commentList>
</comments>
</file>

<file path=xl/sharedStrings.xml><?xml version="1.0" encoding="utf-8"?>
<sst xmlns="http://schemas.openxmlformats.org/spreadsheetml/2006/main" count="413" uniqueCount="216">
  <si>
    <t xml:space="preserve">How to use this file</t>
  </si>
  <si>
    <t xml:space="preserve">One row = one product that sells well in Western Europe. The red section on the right of the same row shows its competitor in your 9 countries.</t>
  </si>
  <si>
    <t xml:space="preserve">Green 'None found' in the competitor column = no gummy competitor found in your markets (the opening).</t>
  </si>
  <si>
    <t xml:space="preserve">Colour legend</t>
  </si>
  <si>
    <t xml:space="preserve">Yellow cells = fill these in (live ad counts, FX rates).</t>
  </si>
  <si>
    <t xml:space="preserve">Blue text = numbers typed in from retailer listings (prices, pack sizes).</t>
  </si>
  <si>
    <t xml:space="preserve">Black text = formulas; don't overwrite.</t>
  </si>
  <si>
    <t xml:space="preserve">Counting live ads (column I)</t>
  </si>
  <si>
    <t xml:space="preserve">1. Click the 'Meta ads: …' link in column H. It opens Meta Ad Library showing that brand's ACTIVE ads in all countries.</t>
  </si>
  <si>
    <t xml:space="preserve">2. Type the '~X results' number into column I. Column J labels it automatically (50+ = scaling).</t>
  </si>
  <si>
    <t xml:space="preserve">3. To check whether a brand already advertises in your markets, switch the country filter to Poland, Romania, Greece, etc.</t>
  </si>
  <si>
    <t xml:space="preserve">Example: Meta shows '~120 results' → type 120 → column J shows 'Scaling (50+)'.</t>
  </si>
  <si>
    <t xml:space="preserve">Limitations</t>
  </si>
  <si>
    <t xml:space="preserve">Prices collected 4 Oct 2026 from retailer listings found through web search. Promotions change often.</t>
  </si>
  <si>
    <t xml:space="preserve">Live ad counts couldn't be collected automatically (Meta Ad Library was blocked from the research session).</t>
  </si>
  <si>
    <t xml:space="preserve">Blank price = the price wasn't visible in search results; open the link to check.</t>
  </si>
  <si>
    <t xml:space="preserve">YOUR TARGET PRODUCT – selling well in Western Europe</t>
  </si>
  <si>
    <t xml:space="preserve">COMPETITION IN BG · GR · RO · PL · HU · SI · SK · HR · CZ</t>
  </si>
  <si>
    <t xml:space="preserve">#</t>
  </si>
  <si>
    <t xml:space="preserve">Category</t>
  </si>
  <si>
    <t xml:space="preserve">Brand</t>
  </si>
  <si>
    <t xml:space="preserve">Product</t>
  </si>
  <si>
    <t xml:space="preserve">Market</t>
  </si>
  <si>
    <t xml:space="preserve">Retailer</t>
  </si>
  <si>
    <t xml:space="preserve">Product link</t>
  </si>
  <si>
    <t xml:space="preserve">Meta Ad Library link</t>
  </si>
  <si>
    <t xml:space="preserve">Live Meta ads</t>
  </si>
  <si>
    <t xml:space="preserve">Ads signal</t>
  </si>
  <si>
    <t xml:space="preserve">Price (local)</t>
  </si>
  <si>
    <t xml:space="preserve">Currency</t>
  </si>
  <si>
    <t xml:space="preserve">Price (EUR)</t>
  </si>
  <si>
    <t xml:space="preserve">Pack size</t>
  </si>
  <si>
    <t xml:space="preserve">Price / gummy (EUR)</t>
  </si>
  <si>
    <t xml:space="preserve">Key ingredients</t>
  </si>
  <si>
    <t xml:space="preserve">Owner</t>
  </si>
  <si>
    <t xml:space="preserve">Competitor in your 9 countries</t>
  </si>
  <si>
    <t xml:space="preserve">Competitor link</t>
  </si>
  <si>
    <t xml:space="preserve">Other competitors</t>
  </si>
  <si>
    <t xml:space="preserve">Verdict</t>
  </si>
  <si>
    <t xml:space="preserve">Notes</t>
  </si>
  <si>
    <t xml:space="preserve">Women's hormone</t>
  </si>
  <si>
    <t xml:space="preserve">Bears with Benefits</t>
  </si>
  <si>
    <t xml:space="preserve">Femtastic PMS Vitamins</t>
  </si>
  <si>
    <t xml:space="preserve">DE</t>
  </si>
  <si>
    <t xml:space="preserve">Vitalabo</t>
  </si>
  <si>
    <t xml:space="preserve">Open product</t>
  </si>
  <si>
    <t xml:space="preserve">Meta ads: Bears with Benefits</t>
  </si>
  <si>
    <t xml:space="preserve">EUR</t>
  </si>
  <si>
    <t xml:space="preserve">Vitamin B6, chasteberry, lemon balm, dong quai</t>
  </si>
  <si>
    <t xml:space="preserve">Havea Group (FR)</t>
  </si>
  <si>
    <t xml:space="preserve">ZOE PMS-B6 – capsules, no gummy</t>
  </si>
  <si>
    <t xml:space="preserve">PL</t>
  </si>
  <si>
    <t xml:space="preserve">Open competitor</t>
  </si>
  <si>
    <t xml:space="preserve">PLN</t>
  </si>
  <si>
    <t xml:space="preserve">—</t>
  </si>
  <si>
    <t xml:space="preserve">BEST OPPORTUNITY</t>
  </si>
  <si>
    <t xml:space="preserve">Europe's gummy market leader within 4 years of its 2018 founding. Sold in DE/AT/CH/IT/FR/ES/NL/UK, not in any of your 9 countries. Out of stock at Vitalabo, so no price.</t>
  </si>
  <si>
    <t xml:space="preserve">Mummy Gummy</t>
  </si>
  <si>
    <t xml:space="preserve">PMS</t>
  </si>
  <si>
    <t xml:space="preserve">UK</t>
  </si>
  <si>
    <t xml:space="preserve">ecco-verde UK</t>
  </si>
  <si>
    <t xml:space="preserve">Meta ads: Mummy Gummy</t>
  </si>
  <si>
    <t xml:space="preserve">GBP</t>
  </si>
  <si>
    <t xml:space="preserve">PMS blend</t>
  </si>
  <si>
    <t xml:space="preserve">Independent (UK)</t>
  </si>
  <si>
    <t xml:space="preserve">Price not shown in search results; check the link.</t>
  </si>
  <si>
    <t xml:space="preserve">Manhaé (Vitavea)</t>
  </si>
  <si>
    <t xml:space="preserve">Ménopause Gummies</t>
  </si>
  <si>
    <t xml:space="preserve">FR</t>
  </si>
  <si>
    <t xml:space="preserve">Redcare Pharmacie</t>
  </si>
  <si>
    <t xml:space="preserve">Meta ads: Manhaé</t>
  </si>
  <si>
    <t xml:space="preserve">Pollen extract, vitamin E, B2 (hormone-free)</t>
  </si>
  <si>
    <t xml:space="preserve">Manhaé Menopause Gummies (imported)</t>
  </si>
  <si>
    <t xml:space="preserve">RO</t>
  </si>
  <si>
    <t xml:space="preserve">RON</t>
  </si>
  <si>
    <t xml:space="preserve">Same owner as Bears with Benefits. In your markets, only Romania has it (one imported product).</t>
  </si>
  <si>
    <t xml:space="preserve">Menopause</t>
  </si>
  <si>
    <t xml:space="preserve">Angelica, chasteberry, lemon balm, vitamin B6</t>
  </si>
  <si>
    <t xml:space="preserve">Lion's mane</t>
  </si>
  <si>
    <t xml:space="preserve">fourfive</t>
  </si>
  <si>
    <t xml:space="preserve">Focus &amp; Energy Lion's Mane 4000mg</t>
  </si>
  <si>
    <t xml:space="preserve">Holland &amp; Barrett</t>
  </si>
  <si>
    <t xml:space="preserve">Meta ads: fourfive</t>
  </si>
  <si>
    <t xml:space="preserve">Lion's mane 4000mg equivalent</t>
  </si>
  <si>
    <t xml:space="preserve">Kompava Memo Gummies</t>
  </si>
  <si>
    <t xml:space="preserve">CZ / SK</t>
  </si>
  <si>
    <t xml:space="preserve">STRONG</t>
  </si>
  <si>
    <t xml:space="preserve">IE site: £21.10 (was £31.50).</t>
  </si>
  <si>
    <t xml:space="preserve">Nutrigums</t>
  </si>
  <si>
    <t xml:space="preserve">Lion's Mane Complex</t>
  </si>
  <si>
    <t xml:space="preserve">Meta ads: Nutrigums</t>
  </si>
  <si>
    <t xml:space="preserve">Lion's mane complex, vegan</t>
  </si>
  <si>
    <t xml:space="preserve">Starpowa</t>
  </si>
  <si>
    <t xml:space="preserve">Lion's Mane 500mg</t>
  </si>
  <si>
    <t xml:space="preserve">Meta ads: Starpowa</t>
  </si>
  <si>
    <t xml:space="preserve">Lion's mane 500mg</t>
  </si>
  <si>
    <t xml:space="preserve">New Leaf</t>
  </si>
  <si>
    <t xml:space="preserve">Lions Mane + Vit C &amp; B5</t>
  </si>
  <si>
    <t xml:space="preserve">Superdrug</t>
  </si>
  <si>
    <t xml:space="preserve">Meta ads: New Leaf Products</t>
  </si>
  <si>
    <t xml:space="preserve">Lion's mane, vitamin C, B5</t>
  </si>
  <si>
    <t xml:space="preserve">Made in the UK.</t>
  </si>
  <si>
    <t xml:space="preserve">Myvitamins (Myprotein)</t>
  </si>
  <si>
    <t xml:space="preserve">Lion's Mane Gummies</t>
  </si>
  <si>
    <t xml:space="preserve">UK / EU</t>
  </si>
  <si>
    <t xml:space="preserve">Myprotein IE</t>
  </si>
  <si>
    <t xml:space="preserve">Meta ads: Myprotein</t>
  </si>
  <si>
    <t xml:space="preserve">Lion's mane extract 500mg + zinc</t>
  </si>
  <si>
    <t xml:space="preserve">THG (UK)</t>
  </si>
  <si>
    <t xml:space="preserve">RRP. Myprotein ships EU-wide, so it could compete cross-border.</t>
  </si>
  <si>
    <t xml:space="preserve">Sea moss</t>
  </si>
  <si>
    <t xml:space="preserve">Sea Moss Apple 1000mg</t>
  </si>
  <si>
    <t xml:space="preserve">Meta ads: Holland &amp; Barrett</t>
  </si>
  <si>
    <t xml:space="preserve">Sea moss 1000mg</t>
  </si>
  <si>
    <t xml:space="preserve">Holland &amp; Barrett (own label)</t>
  </si>
  <si>
    <t xml:space="preserve">None found</t>
  </si>
  <si>
    <t xml:space="preserve">H&amp;B named sea moss its best-selling product of the year. Buy-1-get-1-free offer. Watch the iodine per serving.</t>
  </si>
  <si>
    <t xml:space="preserve">Cleanse Sea Moss 1000mg</t>
  </si>
  <si>
    <t xml:space="preserve">IE</t>
  </si>
  <si>
    <t xml:space="preserve">Holland &amp; Barrett IE</t>
  </si>
  <si>
    <t xml:space="preserve">Sea moss 1000mg, vegan</t>
  </si>
  <si>
    <t xml:space="preserve">Sale price; RRP £39.99.</t>
  </si>
  <si>
    <t xml:space="preserve">Shilajit</t>
  </si>
  <si>
    <t xml:space="preserve">Granions</t>
  </si>
  <si>
    <t xml:space="preserve">Shilajit Gummies 800mg</t>
  </si>
  <si>
    <t xml:space="preserve">Meta ads: Granions</t>
  </si>
  <si>
    <t xml:space="preserve">Shilajit 800mg, ashwagandha, zinc, B6, B12</t>
  </si>
  <si>
    <t xml:space="preserve">Laboratoire des Granions (FR)</t>
  </si>
  <si>
    <t xml:space="preserve">Unbranded Shilajit Gummies (marketplace)</t>
  </si>
  <si>
    <t xml:space="preserve">PL / CZ</t>
  </si>
  <si>
    <t xml:space="preserve">GNC BetterAlt Shilajit Gummies, RO (Dr.Max), 374.99 RON / 60 (≈ €75)</t>
  </si>
  <si>
    <t xml:space="preserve">GOOD – price gap</t>
  </si>
  <si>
    <t xml:space="preserve">Contains ashwagandha, which is restricted in some EU states. US TikTok Shop benchmark: Clean Nutra shilajit gummies, 1.6M units sold.</t>
  </si>
  <si>
    <t xml:space="preserve">Canitat</t>
  </si>
  <si>
    <t xml:space="preserve">Shilajit &amp; Ashwagandha Gummies</t>
  </si>
  <si>
    <t xml:space="preserve">DocMorris</t>
  </si>
  <si>
    <t xml:space="preserve">Meta ads: Canitat</t>
  </si>
  <si>
    <t xml:space="preserve">Shilajit 1000mg + ashwagandha 500mg per 2 gummies</t>
  </si>
  <si>
    <t xml:space="preserve">Independent (DE)</t>
  </si>
  <si>
    <t xml:space="preserve">Colostrum</t>
  </si>
  <si>
    <t xml:space="preserve">Lemme</t>
  </si>
  <si>
    <t xml:space="preserve">Colostrum Gummies</t>
  </si>
  <si>
    <t xml:space="preserve">UK (import)</t>
  </si>
  <si>
    <t xml:space="preserve">GlamGlobal UK</t>
  </si>
  <si>
    <t xml:space="preserve">Meta ads: Lemme</t>
  </si>
  <si>
    <t xml:space="preserve">Colostrum isolate + vitamin D3</t>
  </si>
  <si>
    <t xml:space="preserve">Lemme (US)</t>
  </si>
  <si>
    <t xml:space="preserve">EARLY BET</t>
  </si>
  <si>
    <t xml:space="preserve">Early trend. In PL, colostrum sells only as capsules and powder. Price not shown in search results.</t>
  </si>
  <si>
    <t xml:space="preserve">Electrolyte</t>
  </si>
  <si>
    <t xml:space="preserve">Plant People</t>
  </si>
  <si>
    <t xml:space="preserve">WonderHydrate Electrolyte Gummies</t>
  </si>
  <si>
    <t xml:space="preserve">Live in the Light</t>
  </si>
  <si>
    <t xml:space="preserve">Meta ads: Plant People WonderHydrate</t>
  </si>
  <si>
    <t xml:space="preserve">Electrolytes, zero sugar</t>
  </si>
  <si>
    <t xml:space="preserve">Plant People (US)</t>
  </si>
  <si>
    <t xml:space="preserve">42 gummies = 21-day supply.</t>
  </si>
  <si>
    <t xml:space="preserve">The Bytes Company</t>
  </si>
  <si>
    <t xml:space="preserve">Hydrate Bytes</t>
  </si>
  <si>
    <t xml:space="preserve">John Bell &amp; Croyden</t>
  </si>
  <si>
    <t xml:space="preserve">Meta ads: Hydrate Bytes</t>
  </si>
  <si>
    <t xml:space="preserve">Vitamin C, magnesium, potassium, salt</t>
  </si>
  <si>
    <t xml:space="preserve">Independent (made in DE)</t>
  </si>
  <si>
    <t xml:space="preserve">Beauty / hair</t>
  </si>
  <si>
    <t xml:space="preserve">Ah-mazing Hair Vitamin</t>
  </si>
  <si>
    <t xml:space="preserve">AT</t>
  </si>
  <si>
    <t xml:space="preserve">dm Austria</t>
  </si>
  <si>
    <t xml:space="preserve">Biotin, zinc, sugar-free</t>
  </si>
  <si>
    <t xml:space="preserve">GymBeam Pink Beauty gummies</t>
  </si>
  <si>
    <t xml:space="preserve">HU (+ all 9)</t>
  </si>
  <si>
    <t xml:space="preserve">Swanson, Noble Health, MyVita (PL); VitaYummy, Vita Ora (RO)</t>
  </si>
  <si>
    <t xml:space="preserve">CROWDED</t>
  </si>
  <si>
    <t xml:space="preserve">60-bear version €24.99 (Vitalabo).</t>
  </si>
  <si>
    <t xml:space="preserve">Lashilé Beauty</t>
  </si>
  <si>
    <t xml:space="preserve">Good Hair</t>
  </si>
  <si>
    <t xml:space="preserve">CH</t>
  </si>
  <si>
    <t xml:space="preserve">Manor</t>
  </si>
  <si>
    <t xml:space="preserve">Meta ads: Lashilé</t>
  </si>
  <si>
    <t xml:space="preserve">CHF</t>
  </si>
  <si>
    <t xml:space="preserve">Biotin, zinc, B6, horsetail</t>
  </si>
  <si>
    <t xml:space="preserve">Cooper Consumer Health (FR)</t>
  </si>
  <si>
    <t xml:space="preserve">#3 in French gummies (7.9% share).</t>
  </si>
  <si>
    <t xml:space="preserve">Creatine</t>
  </si>
  <si>
    <t xml:space="preserve">Novomins</t>
  </si>
  <si>
    <t xml:space="preserve">Creatine 5000mg, sugar-free</t>
  </si>
  <si>
    <t xml:space="preserve">Meta ads: Novomins</t>
  </si>
  <si>
    <t xml:space="preserve">Creatine monohydrate 5g/day</t>
  </si>
  <si>
    <t xml:space="preserve">Novomins (UK)</t>
  </si>
  <si>
    <t xml:space="preserve">GymBeam Creatine Yummies</t>
  </si>
  <si>
    <t xml:space="preserve">PL (+ all 9)</t>
  </si>
  <si>
    <t xml:space="preserve">Swanson creatine gummies, PL (Media Expert), 110.40 PLN / 120 · AlphaBear creatine 5000mg, PL (Kaufland), 125 PLN / 90 · Weider, Re.Fuel (PL) · Applied Nutrition, OnEnergy (GR)</t>
  </si>
  <si>
    <t xml:space="preserve">AVOID</t>
  </si>
  <si>
    <t xml:space="preserve">€26.95 in Ireland. Benchmark only, because the category is crowded in your markets.</t>
  </si>
  <si>
    <t xml:space="preserve">Products tracked</t>
  </si>
  <si>
    <t xml:space="preserve">Avg Western price / gummy (EUR)</t>
  </si>
  <si>
    <t xml:space="preserve">Avg competitor price / gummy (EUR)</t>
  </si>
  <si>
    <t xml:space="preserve">Live Meta ads counted</t>
  </si>
  <si>
    <t xml:space="preserve">Why</t>
  </si>
  <si>
    <t xml:space="preserve">Manhaé (RO) · ZOE capsules (PL)</t>
  </si>
  <si>
    <t xml:space="preserve">Europe's gummy market leader (Bears with Benefits) and Manhaé aren't in your markets. Only one imported menopause gummy (RO); in PL, PMS support is sold as capsules only.</t>
  </si>
  <si>
    <t xml:space="preserve">Kompava (CZ/SK)</t>
  </si>
  <si>
    <t xml:space="preserve">Many UK brands on shelf. In your markets, only Kompava (CZ/SK); PL sells capsules and powder.</t>
  </si>
  <si>
    <t xml:space="preserve">H&amp;B's best-selling product of the year. No sea moss gummy found in your markets.</t>
  </si>
  <si>
    <t xml:space="preserve">Marketplace seller (PL/CZ) · GNC (RO)</t>
  </si>
  <si>
    <t xml:space="preserve">Only a weak marketplace seller and an expensive GNC import (≈ €75). Allowed in the EU only as a food supplement.</t>
  </si>
  <si>
    <t xml:space="preserve">Early in the West too. Poles already buy colostrum, but as capsules and powder.</t>
  </si>
  <si>
    <t xml:space="preserve">Small even in the West; works as a summer line extension.</t>
  </si>
  <si>
    <t xml:space="preserve">GymBeam + others</t>
  </si>
  <si>
    <t xml:space="preserve">GymBeam, Swanson and local brands already sell here.</t>
  </si>
  <si>
    <t xml:space="preserve">GymBeam + Swanson, AlphaBear, others</t>
  </si>
  <si>
    <t xml:space="preserve">GymBeam sells in all 9 countries, plus Swanson, AlphaBear, Weider and others.</t>
  </si>
  <si>
    <t xml:space="preserve">Exchange rates used for EUR conversion</t>
  </si>
  <si>
    <t xml:space="preserve">Approximate rates (assumption, not live). Edit the yellow cells and every EUR column recalculates.</t>
  </si>
  <si>
    <t xml:space="preserve">EUR per 1 unit</t>
  </si>
  <si>
    <t xml:space="preserve">USD</t>
  </si>
  <si>
    <t xml:space="preserve">CZK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</si>
</sst>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.00"/>
    <numFmt numFmtId="166" formatCode="\€#,##0.00"/>
    <numFmt numFmtId="167" formatCode="0.00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00803C"/>
      <name val="Arial"/>
      <family val="0"/>
      <charset val="1"/>
    </font>
    <font>
      <sz val="10"/>
      <name val="Arial"/>
      <family val="2"/>
    </font>
    <font>
      <i val="true"/>
      <sz val="1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2F4858"/>
        <bgColor rgb="FF333399"/>
      </patternFill>
    </fill>
    <fill>
      <patternFill patternType="solid">
        <fgColor rgb="FF9E3D22"/>
        <bgColor rgb="FF993366"/>
      </patternFill>
    </fill>
    <fill>
      <patternFill patternType="solid">
        <fgColor rgb="FFDCE6EA"/>
        <bgColor rgb="FFF6DDD3"/>
      </patternFill>
    </fill>
    <fill>
      <patternFill patternType="solid">
        <fgColor rgb="FFFFFF00"/>
        <bgColor rgb="FFFFFF00"/>
      </patternFill>
    </fill>
    <fill>
      <patternFill patternType="solid">
        <fgColor rgb="FFF6DDD3"/>
        <bgColor rgb="FFDCE6EA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 diagonalUp="false" diagonalDown="false">
      <left style="medium">
        <color rgb="FF9E3D22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3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10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5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" fillId="6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6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10" fillId="6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5" fillId="6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0" fillId="6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1" fillId="6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2F4858"/>
          <bgColor rgb="FF000000"/>
        </patternFill>
      </fill>
    </dxf>
    <dxf>
      <fill>
        <patternFill patternType="solid">
          <fgColor rgb="FFDCE6EA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9E3D22"/>
          <bgColor rgb="FF000000"/>
        </patternFill>
      </fill>
    </dxf>
    <dxf>
      <fill>
        <patternFill patternType="solid">
          <fgColor rgb="FFF6DDD3"/>
          <bgColor rgb="FF000000"/>
        </patternFill>
      </fill>
    </dxf>
    <dxf>
      <fill>
        <patternFill patternType="solid">
          <fgColor rgb="FF00803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3C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CE6EA"/>
      <rgbColor rgb="FF660066"/>
      <rgbColor rgb="FFFF8080"/>
      <rgbColor rgb="FF0563C1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6DDD3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E3D22"/>
      <rgbColor rgb="FF993366"/>
      <rgbColor rgb="FF333399"/>
      <rgbColor rgb="FF2F485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hyperlink" Target="https://www.vitalabo.com/bears-with-benefits/femtastic-pms-vitamins" TargetMode="External"/><Relationship Id="rId3" Type="http://schemas.openxmlformats.org/officeDocument/2006/relationships/hyperlink" Target="https://www.facebook.com/ads/library/?active_status=active&amp;ad_type=all&amp;country=ALL&amp;q=Bears%20with%20Benefits&amp;search_type=keyword_unordered&amp;media_type=all" TargetMode="External"/><Relationship Id="rId4" Type="http://schemas.openxmlformats.org/officeDocument/2006/relationships/hyperlink" Target="https://www.notino.pl/zoe/pms-b6-kapsulki-do-wsparcia-rownowagi-hormonalnej/" TargetMode="External"/><Relationship Id="rId5" Type="http://schemas.openxmlformats.org/officeDocument/2006/relationships/hyperlink" Target="https://ecco-verde.co.uk/mummy-gummy/pms-2" TargetMode="External"/><Relationship Id="rId6" Type="http://schemas.openxmlformats.org/officeDocument/2006/relationships/hyperlink" Target="https://www.facebook.com/ads/library/?active_status=active&amp;ad_type=all&amp;country=ALL&amp;q=Mummy%20Gummy&amp;search_type=keyword_unordered&amp;media_type=all" TargetMode="External"/><Relationship Id="rId7" Type="http://schemas.openxmlformats.org/officeDocument/2006/relationships/hyperlink" Target="https://www.notino.pl/zoe/pms-b6-kapsulki-do-wsparcia-rownowagi-hormonalnej/" TargetMode="External"/><Relationship Id="rId8" Type="http://schemas.openxmlformats.org/officeDocument/2006/relationships/hyperlink" Target="https://www.redcare-pharmacie.fr/hygiene-et-sante/F00421412/manhae-menopause-gummies.htm" TargetMode="External"/><Relationship Id="rId9" Type="http://schemas.openxmlformats.org/officeDocument/2006/relationships/hyperlink" Target="https://www.facebook.com/ads/library/?active_status=active&amp;ad_type=all&amp;country=ALL&amp;q=Manha&#233;&amp;search_type=keyword_unordered&amp;media_type=all" TargetMode="External"/><Relationship Id="rId10" Type="http://schemas.openxmlformats.org/officeDocument/2006/relationships/hyperlink" Target="https://www.drmax.ro/menopause-gummies-manhae-60-jeleuri-vitavea" TargetMode="External"/><Relationship Id="rId11" Type="http://schemas.openxmlformats.org/officeDocument/2006/relationships/hyperlink" Target="https://www.ecco-verde.co.uk/mummy-gummy/menopause-2" TargetMode="External"/><Relationship Id="rId12" Type="http://schemas.openxmlformats.org/officeDocument/2006/relationships/hyperlink" Target="https://www.facebook.com/ads/library/?active_status=active&amp;ad_type=all&amp;country=ALL&amp;q=Mummy%20Gummy&amp;search_type=keyword_unordered&amp;media_type=all" TargetMode="External"/><Relationship Id="rId13" Type="http://schemas.openxmlformats.org/officeDocument/2006/relationships/hyperlink" Target="https://www.drmax.ro/menopause-gummies-manhae-60-jeleuri-vitavea" TargetMode="External"/><Relationship Id="rId14" Type="http://schemas.openxmlformats.org/officeDocument/2006/relationships/hyperlink" Target="https://www.hollandandbarrett.com/shop/product/fourfive-focus-energy-lion-s-mane-4000mg-60-gummies-6100003656" TargetMode="External"/><Relationship Id="rId15" Type="http://schemas.openxmlformats.org/officeDocument/2006/relationships/hyperlink" Target="https://www.facebook.com/ads/library/?active_status=active&amp;ad_type=all&amp;country=ALL&amp;q=fourfive&amp;search_type=keyword_unordered&amp;media_type=all" TargetMode="External"/><Relationship Id="rId16" Type="http://schemas.openxmlformats.org/officeDocument/2006/relationships/hyperlink" Target="https://www.drmax.cz/kompava-memo-gummies-180-mg-60-cukrikov" TargetMode="External"/><Relationship Id="rId17" Type="http://schemas.openxmlformats.org/officeDocument/2006/relationships/hyperlink" Target="https://www.hollandandbarrett.com/shop/product/nutrigums-lion-s-mane-complex-60-gummies-6100017092" TargetMode="External"/><Relationship Id="rId18" Type="http://schemas.openxmlformats.org/officeDocument/2006/relationships/hyperlink" Target="https://www.facebook.com/ads/library/?active_status=active&amp;ad_type=all&amp;country=ALL&amp;q=Nutrigums&amp;search_type=keyword_unordered&amp;media_type=all" TargetMode="External"/><Relationship Id="rId19" Type="http://schemas.openxmlformats.org/officeDocument/2006/relationships/hyperlink" Target="https://www.drmax.cz/kompava-memo-gummies-180-mg-60-cukrikov" TargetMode="External"/><Relationship Id="rId20" Type="http://schemas.openxmlformats.org/officeDocument/2006/relationships/hyperlink" Target="https://hollandandbarrett.com/shop/product/starpowa-lion-s-mane-500mg-60-gummies-6100001690" TargetMode="External"/><Relationship Id="rId21" Type="http://schemas.openxmlformats.org/officeDocument/2006/relationships/hyperlink" Target="https://www.facebook.com/ads/library/?active_status=active&amp;ad_type=all&amp;country=ALL&amp;q=Starpowa&amp;search_type=keyword_unordered&amp;media_type=all" TargetMode="External"/><Relationship Id="rId22" Type="http://schemas.openxmlformats.org/officeDocument/2006/relationships/hyperlink" Target="https://www.drmax.cz/kompava-memo-gummies-180-mg-60-cukrikov" TargetMode="External"/><Relationship Id="rId23" Type="http://schemas.openxmlformats.org/officeDocument/2006/relationships/hyperlink" Target="https://www.superdrug.com/health/vitamins-supplements/multi-vitamins/new-leaf-lions-mane-gummies-with-vitamin-c-b5-60-fill/p/mp-00471066" TargetMode="External"/><Relationship Id="rId24" Type="http://schemas.openxmlformats.org/officeDocument/2006/relationships/hyperlink" Target="https://www.facebook.com/ads/library/?active_status=active&amp;ad_type=all&amp;country=ALL&amp;q=New%20Leaf%20Products&amp;search_type=keyword_unordered&amp;media_type=all" TargetMode="External"/><Relationship Id="rId25" Type="http://schemas.openxmlformats.org/officeDocument/2006/relationships/hyperlink" Target="https://www.drmax.cz/kompava-memo-gummies-180-mg-60-cukrikov" TargetMode="External"/><Relationship Id="rId26" Type="http://schemas.openxmlformats.org/officeDocument/2006/relationships/hyperlink" Target="https://myprotein.ie/p/sports-nutrition/mushroom-gummies-lion-s-mane-reishi/15726883" TargetMode="External"/><Relationship Id="rId27" Type="http://schemas.openxmlformats.org/officeDocument/2006/relationships/hyperlink" Target="https://www.facebook.com/ads/library/?active_status=active&amp;ad_type=all&amp;country=ALL&amp;q=Myprotein&amp;search_type=keyword_unordered&amp;media_type=all" TargetMode="External"/><Relationship Id="rId28" Type="http://schemas.openxmlformats.org/officeDocument/2006/relationships/hyperlink" Target="https://www.drmax.cz/kompava-memo-gummies-180-mg-60-cukrikov" TargetMode="External"/><Relationship Id="rId29" Type="http://schemas.openxmlformats.org/officeDocument/2006/relationships/hyperlink" Target="https://www.hollandandbarrett.com/shop/product/holland-barrett-sea-moss-apple-flavour-1000mg-60-gummies-6100022478" TargetMode="External"/><Relationship Id="rId30" Type="http://schemas.openxmlformats.org/officeDocument/2006/relationships/hyperlink" Target="https://www.facebook.com/ads/library/?active_status=active&amp;ad_type=all&amp;country=ALL&amp;q=Holland%20%26%20Barrett&amp;search_type=keyword_unordered&amp;media_type=all" TargetMode="External"/><Relationship Id="rId31" Type="http://schemas.openxmlformats.org/officeDocument/2006/relationships/hyperlink" Target="https://www.hollandandbarrett.ie/shop/product/starpowa-sea-moss-1000mg-60-gummies-6100001689" TargetMode="External"/><Relationship Id="rId32" Type="http://schemas.openxmlformats.org/officeDocument/2006/relationships/hyperlink" Target="https://www.facebook.com/ads/library/?active_status=active&amp;ad_type=all&amp;country=ALL&amp;q=Starpowa&amp;search_type=keyword_unordered&amp;media_type=all" TargetMode="External"/><Relationship Id="rId33" Type="http://schemas.openxmlformats.org/officeDocument/2006/relationships/hyperlink" Target="https://www.redcare-pharmacie.fr/hygiene-et-sante/F00572690/granions-shilajit.htm" TargetMode="External"/><Relationship Id="rId34" Type="http://schemas.openxmlformats.org/officeDocument/2006/relationships/hyperlink" Target="https://www.facebook.com/ads/library/?active_status=active&amp;ad_type=all&amp;country=ALL&amp;q=Granions&amp;search_type=keyword_unordered&amp;media_type=all" TargetMode="External"/><Relationship Id="rId35" Type="http://schemas.openxmlformats.org/officeDocument/2006/relationships/hyperlink" Target="https://www.kaufland.pl/product/539162049/" TargetMode="External"/><Relationship Id="rId36" Type="http://schemas.openxmlformats.org/officeDocument/2006/relationships/hyperlink" Target="https://www.docmorris.de/shilajit-ashwagandha-gummies-von-canitat-m/FPCPZ9TM" TargetMode="External"/><Relationship Id="rId37" Type="http://schemas.openxmlformats.org/officeDocument/2006/relationships/hyperlink" Target="https://www.facebook.com/ads/library/?active_status=active&amp;ad_type=all&amp;country=ALL&amp;q=Canitat&amp;search_type=keyword_unordered&amp;media_type=all" TargetMode="External"/><Relationship Id="rId38" Type="http://schemas.openxmlformats.org/officeDocument/2006/relationships/hyperlink" Target="https://www.kaufland.pl/product/539162049/" TargetMode="External"/><Relationship Id="rId39" Type="http://schemas.openxmlformats.org/officeDocument/2006/relationships/hyperlink" Target="https://glamglobal.co.uk/products/lemme-colostrum-gummies-60-gummies-gut-health-digestion-immunity-support-with-vitamin-d3" TargetMode="External"/><Relationship Id="rId40" Type="http://schemas.openxmlformats.org/officeDocument/2006/relationships/hyperlink" Target="https://www.facebook.com/ads/library/?active_status=active&amp;ad_type=all&amp;country=ALL&amp;q=Lemme&amp;search_type=keyword_unordered&amp;media_type=all" TargetMode="External"/><Relationship Id="rId41" Type="http://schemas.openxmlformats.org/officeDocument/2006/relationships/hyperlink" Target="https://liveinthelight.co.uk/products/wonderhydrate-electrolyte-gummies" TargetMode="External"/><Relationship Id="rId42" Type="http://schemas.openxmlformats.org/officeDocument/2006/relationships/hyperlink" Target="https://www.facebook.com/ads/library/?active_status=active&amp;ad_type=all&amp;country=ALL&amp;q=Plant%20People%20WonderHydrate&amp;search_type=keyword_unordered&amp;media_type=all" TargetMode="External"/><Relationship Id="rId43" Type="http://schemas.openxmlformats.org/officeDocument/2006/relationships/hyperlink" Target="https://johnbellcroyden.co.uk/products/the-bytes-company-hydrate-bytes-60-watermelon-kiwi-gummies" TargetMode="External"/><Relationship Id="rId44" Type="http://schemas.openxmlformats.org/officeDocument/2006/relationships/hyperlink" Target="https://www.facebook.com/ads/library/?active_status=active&amp;ad_type=all&amp;country=ALL&amp;q=Hydrate%20Bytes&amp;search_type=keyword_unordered&amp;media_type=all" TargetMode="External"/><Relationship Id="rId45" Type="http://schemas.openxmlformats.org/officeDocument/2006/relationships/hyperlink" Target="https://www.dm.at/p/d/1580777/bears-with-benefits-ah-mazing-hair-vitamin-biotin-gummibaerchen" TargetMode="External"/><Relationship Id="rId46" Type="http://schemas.openxmlformats.org/officeDocument/2006/relationships/hyperlink" Target="https://www.facebook.com/ads/library/?active_status=active&amp;ad_type=all&amp;country=ALL&amp;q=Bears%20with%20Benefits&amp;search_type=keyword_unordered&amp;media_type=all" TargetMode="External"/><Relationship Id="rId47" Type="http://schemas.openxmlformats.org/officeDocument/2006/relationships/hyperlink" Target="https://zue.hu/en/spd/1019825/GymBeam-Pink-Beauty-Gumivitamin-60db" TargetMode="External"/><Relationship Id="rId48" Type="http://schemas.openxmlformats.org/officeDocument/2006/relationships/hyperlink" Target="https://www.manor.ch/fr/p/10002546616" TargetMode="External"/><Relationship Id="rId49" Type="http://schemas.openxmlformats.org/officeDocument/2006/relationships/hyperlink" Target="https://www.facebook.com/ads/library/?active_status=active&amp;ad_type=all&amp;country=ALL&amp;q=Lashil&#233;&amp;search_type=keyword_unordered&amp;media_type=all" TargetMode="External"/><Relationship Id="rId50" Type="http://schemas.openxmlformats.org/officeDocument/2006/relationships/hyperlink" Target="https://zue.hu/en/spd/1019825/GymBeam-Pink-Beauty-Gumivitamin-60db" TargetMode="External"/><Relationship Id="rId51" Type="http://schemas.openxmlformats.org/officeDocument/2006/relationships/hyperlink" Target="https://www.hollandandbarrett.com/shop/product/strawberry-flavoured-creatine-gummies-food-supplement-with-sugar-ansd-sweetener-90-6100007176" TargetMode="External"/><Relationship Id="rId52" Type="http://schemas.openxmlformats.org/officeDocument/2006/relationships/hyperlink" Target="https://www.facebook.com/ads/library/?active_status=active&amp;ad_type=all&amp;country=ALL&amp;q=Novomins&amp;search_type=keyword_unordered&amp;media_type=all" TargetMode="External"/><Relationship Id="rId53" Type="http://schemas.openxmlformats.org/officeDocument/2006/relationships/hyperlink" Target="https://www.notino.pl/gymbeam/creatine-yummies-zelki-wsparcie-wydolnosci-treningowej/" TargetMode="External"/><Relationship Id="rId54" Type="http://schemas.openxmlformats.org/officeDocument/2006/relationships/drawing" Target="../drawings/drawing1.xml"/><Relationship Id="rId55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0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2" t="s">
        <v>2</v>
      </c>
    </row>
    <row r="5" customFormat="false" ht="15" hidden="false" customHeight="false" outlineLevel="0" collapsed="false">
      <c r="A5" s="2"/>
    </row>
    <row r="6" customFormat="false" ht="15" hidden="false" customHeight="false" outlineLevel="0" collapsed="false">
      <c r="A6" s="3" t="s">
        <v>3</v>
      </c>
    </row>
    <row r="7" customFormat="false" ht="15" hidden="false" customHeight="false" outlineLevel="0" collapsed="false">
      <c r="A7" s="2" t="s">
        <v>4</v>
      </c>
    </row>
    <row r="8" customFormat="false" ht="15" hidden="false" customHeight="false" outlineLevel="0" collapsed="false">
      <c r="A8" s="2" t="s">
        <v>5</v>
      </c>
    </row>
    <row r="9" customFormat="false" ht="15" hidden="false" customHeight="false" outlineLevel="0" collapsed="false">
      <c r="A9" s="2" t="s">
        <v>6</v>
      </c>
    </row>
    <row r="10" customFormat="false" ht="15" hidden="false" customHeight="false" outlineLevel="0" collapsed="false">
      <c r="A10" s="2"/>
    </row>
    <row r="11" customFormat="false" ht="15" hidden="false" customHeight="false" outlineLevel="0" collapsed="false">
      <c r="A11" s="3" t="s">
        <v>7</v>
      </c>
    </row>
    <row r="12" customFormat="false" ht="15" hidden="false" customHeight="false" outlineLevel="0" collapsed="false">
      <c r="A12" s="2" t="s">
        <v>8</v>
      </c>
    </row>
    <row r="13" customFormat="false" ht="15" hidden="false" customHeight="false" outlineLevel="0" collapsed="false">
      <c r="A13" s="2" t="s">
        <v>9</v>
      </c>
    </row>
    <row r="14" customFormat="false" ht="15" hidden="false" customHeight="false" outlineLevel="0" collapsed="false">
      <c r="A14" s="2" t="s">
        <v>10</v>
      </c>
    </row>
    <row r="15" customFormat="false" ht="15" hidden="false" customHeight="false" outlineLevel="0" collapsed="false">
      <c r="A15" s="2" t="s">
        <v>11</v>
      </c>
    </row>
    <row r="16" customFormat="false" ht="15" hidden="false" customHeight="false" outlineLevel="0" collapsed="false">
      <c r="A16" s="2"/>
    </row>
    <row r="17" customFormat="false" ht="15" hidden="false" customHeight="false" outlineLevel="0" collapsed="false">
      <c r="A17" s="3" t="s">
        <v>12</v>
      </c>
    </row>
    <row r="18" customFormat="false" ht="15" hidden="false" customHeight="false" outlineLevel="0" collapsed="false">
      <c r="A18" s="2" t="s">
        <v>13</v>
      </c>
    </row>
    <row r="19" customFormat="false" ht="15" hidden="false" customHeight="false" outlineLevel="0" collapsed="false">
      <c r="A19" s="2" t="s">
        <v>14</v>
      </c>
    </row>
    <row r="20" customFormat="false" ht="15" hidden="false" customHeight="false" outlineLevel="0" collapsed="false">
      <c r="A20" s="2" t="s">
        <v>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4" ySplit="2" topLeftCell="E3" activePane="bottomRight" state="frozen"/>
      <selection pane="topLeft" activeCell="A1" activeCellId="0" sqref="A1"/>
      <selection pane="topRight" activeCell="E1" activeCellId="0" sqref="E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5"/>
    <col collapsed="false" customWidth="true" hidden="false" outlineLevel="0" max="3" min="3" style="0" width="19"/>
    <col collapsed="false" customWidth="true" hidden="false" outlineLevel="0" max="4" min="4" style="0" width="26"/>
    <col collapsed="false" customWidth="true" hidden="false" outlineLevel="0" max="5" min="5" style="0" width="9"/>
    <col collapsed="false" customWidth="true" hidden="false" outlineLevel="0" max="6" min="6" style="0" width="17"/>
    <col collapsed="false" customWidth="true" hidden="false" outlineLevel="0" max="7" min="7" style="0" width="13"/>
    <col collapsed="false" customWidth="true" hidden="false" outlineLevel="0" max="8" min="8" style="0" width="26"/>
    <col collapsed="false" customWidth="true" hidden="false" outlineLevel="0" max="9" min="9" style="0" width="9"/>
    <col collapsed="false" customWidth="true" hidden="false" outlineLevel="0" max="10" min="10" style="0" width="14"/>
    <col collapsed="false" customWidth="true" hidden="false" outlineLevel="0" max="11" min="11" style="0" width="10"/>
    <col collapsed="false" customWidth="true" hidden="false" outlineLevel="0" max="12" min="12" style="0" width="8"/>
    <col collapsed="false" customWidth="true" hidden="false" outlineLevel="0" max="13" min="13" style="0" width="10"/>
    <col collapsed="false" customWidth="true" hidden="false" outlineLevel="0" max="14" min="14" style="0" width="7"/>
    <col collapsed="false" customWidth="true" hidden="false" outlineLevel="0" max="15" min="15" style="0" width="10"/>
    <col collapsed="false" customWidth="true" hidden="false" outlineLevel="0" max="16" min="16" style="0" width="28"/>
    <col collapsed="false" customWidth="true" hidden="false" outlineLevel="0" max="17" min="17" style="0" width="20"/>
    <col collapsed="false" customWidth="true" hidden="false" outlineLevel="0" max="18" min="18" style="0" width="26"/>
    <col collapsed="false" customWidth="true" hidden="false" outlineLevel="0" max="19" min="19" style="0" width="11"/>
    <col collapsed="false" customWidth="true" hidden="false" outlineLevel="0" max="20" min="20" style="0" width="15"/>
    <col collapsed="false" customWidth="true" hidden="false" outlineLevel="0" max="21" min="21" style="0" width="10"/>
    <col collapsed="false" customWidth="true" hidden="false" outlineLevel="0" max="22" min="22" style="0" width="8"/>
    <col collapsed="false" customWidth="true" hidden="false" outlineLevel="0" max="23" min="23" style="0" width="10"/>
    <col collapsed="false" customWidth="true" hidden="false" outlineLevel="0" max="24" min="24" style="0" width="7"/>
    <col collapsed="false" customWidth="true" hidden="false" outlineLevel="0" max="25" min="25" style="0" width="10"/>
    <col collapsed="false" customWidth="true" hidden="false" outlineLevel="0" max="26" min="26" style="0" width="40"/>
    <col collapsed="false" customWidth="true" hidden="false" outlineLevel="0" max="27" min="27" style="0" width="17"/>
    <col collapsed="false" customWidth="true" hidden="false" outlineLevel="0" max="28" min="28" style="0" width="50"/>
  </cols>
  <sheetData>
    <row r="1" customFormat="false" ht="21.75" hidden="false" customHeight="true" outlineLevel="0" collapsed="false">
      <c r="A1" s="4" t="s">
        <v>16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5" t="s">
        <v>17</v>
      </c>
      <c r="S1" s="5"/>
      <c r="T1" s="5"/>
      <c r="U1" s="5"/>
      <c r="V1" s="5"/>
      <c r="W1" s="5"/>
      <c r="X1" s="5"/>
      <c r="Y1" s="5"/>
      <c r="Z1" s="5"/>
      <c r="AA1" s="5"/>
      <c r="AB1" s="5"/>
    </row>
    <row r="2" customFormat="false" ht="30" hidden="false" customHeight="true" outlineLevel="0" collapsed="false">
      <c r="A2" s="6" t="s">
        <v>18</v>
      </c>
      <c r="B2" s="6" t="s">
        <v>19</v>
      </c>
      <c r="C2" s="6" t="s">
        <v>20</v>
      </c>
      <c r="D2" s="6" t="s">
        <v>21</v>
      </c>
      <c r="E2" s="6" t="s">
        <v>22</v>
      </c>
      <c r="F2" s="6" t="s">
        <v>23</v>
      </c>
      <c r="G2" s="6" t="s">
        <v>24</v>
      </c>
      <c r="H2" s="6" t="s">
        <v>25</v>
      </c>
      <c r="I2" s="6" t="s">
        <v>26</v>
      </c>
      <c r="J2" s="6" t="s">
        <v>27</v>
      </c>
      <c r="K2" s="6" t="s">
        <v>28</v>
      </c>
      <c r="L2" s="6" t="s">
        <v>29</v>
      </c>
      <c r="M2" s="6" t="s">
        <v>30</v>
      </c>
      <c r="N2" s="6" t="s">
        <v>31</v>
      </c>
      <c r="O2" s="6" t="s">
        <v>32</v>
      </c>
      <c r="P2" s="6" t="s">
        <v>33</v>
      </c>
      <c r="Q2" s="6" t="s">
        <v>34</v>
      </c>
      <c r="R2" s="7" t="s">
        <v>35</v>
      </c>
      <c r="S2" s="8" t="s">
        <v>22</v>
      </c>
      <c r="T2" s="8" t="s">
        <v>36</v>
      </c>
      <c r="U2" s="8" t="s">
        <v>28</v>
      </c>
      <c r="V2" s="8" t="s">
        <v>29</v>
      </c>
      <c r="W2" s="8" t="s">
        <v>30</v>
      </c>
      <c r="X2" s="8" t="s">
        <v>31</v>
      </c>
      <c r="Y2" s="8" t="s">
        <v>32</v>
      </c>
      <c r="Z2" s="8" t="s">
        <v>37</v>
      </c>
      <c r="AA2" s="8" t="s">
        <v>38</v>
      </c>
      <c r="AB2" s="8" t="s">
        <v>39</v>
      </c>
    </row>
    <row r="3" customFormat="false" ht="35.05" hidden="false" customHeight="false" outlineLevel="0" collapsed="false">
      <c r="A3" s="9" t="n">
        <v>1</v>
      </c>
      <c r="B3" s="9" t="s">
        <v>40</v>
      </c>
      <c r="C3" s="9" t="s">
        <v>41</v>
      </c>
      <c r="D3" s="10" t="s">
        <v>42</v>
      </c>
      <c r="E3" s="9" t="s">
        <v>43</v>
      </c>
      <c r="F3" s="9" t="s">
        <v>44</v>
      </c>
      <c r="G3" s="11" t="s">
        <v>45</v>
      </c>
      <c r="H3" s="11" t="s">
        <v>46</v>
      </c>
      <c r="I3" s="12"/>
      <c r="J3" s="9" t="str">
        <f aca="false">IF(I3="","Not counted yet",IF(I3&gt;=50,"Scaling (50+)",IF(I3&gt;=10,"Testing (10–49)",IF(I3&gt;=1,"Low (1–9)","No live ads"))))</f>
        <v>Not counted yet</v>
      </c>
      <c r="K3" s="13"/>
      <c r="L3" s="9" t="s">
        <v>47</v>
      </c>
      <c r="M3" s="14" t="str">
        <f aca="false">IF(K3="","",K3*INDEX(FX!$B$5:$B$11,MATCH(L3,FX!$A$5:$A$11,0)))</f>
        <v/>
      </c>
      <c r="N3" s="15" t="n">
        <v>60</v>
      </c>
      <c r="O3" s="14" t="str">
        <f aca="false">IFERROR(M3/N3,"")</f>
        <v/>
      </c>
      <c r="P3" s="10" t="s">
        <v>48</v>
      </c>
      <c r="Q3" s="10" t="s">
        <v>49</v>
      </c>
      <c r="R3" s="16" t="s">
        <v>50</v>
      </c>
      <c r="S3" s="17" t="s">
        <v>51</v>
      </c>
      <c r="T3" s="18" t="s">
        <v>52</v>
      </c>
      <c r="U3" s="19" t="n">
        <v>119.8</v>
      </c>
      <c r="V3" s="17" t="s">
        <v>53</v>
      </c>
      <c r="W3" s="20" t="n">
        <f aca="false">IF(U3="","",U3*INDEX(FX!$B$5:$B$11,MATCH(V3,FX!$A$5:$A$11,0)))</f>
        <v>28.153</v>
      </c>
      <c r="X3" s="21" t="n">
        <v>60</v>
      </c>
      <c r="Y3" s="20" t="n">
        <f aca="false">IFERROR(W3/X3,"")</f>
        <v>0.469216666666667</v>
      </c>
      <c r="Z3" s="22" t="s">
        <v>54</v>
      </c>
      <c r="AA3" s="23" t="s">
        <v>55</v>
      </c>
      <c r="AB3" s="22" t="s">
        <v>56</v>
      </c>
    </row>
    <row r="4" customFormat="false" ht="15" hidden="false" customHeight="false" outlineLevel="0" collapsed="false">
      <c r="A4" s="9" t="n">
        <v>2</v>
      </c>
      <c r="B4" s="9" t="s">
        <v>40</v>
      </c>
      <c r="C4" s="9" t="s">
        <v>57</v>
      </c>
      <c r="D4" s="10" t="s">
        <v>58</v>
      </c>
      <c r="E4" s="9" t="s">
        <v>59</v>
      </c>
      <c r="F4" s="9" t="s">
        <v>60</v>
      </c>
      <c r="G4" s="11" t="s">
        <v>45</v>
      </c>
      <c r="H4" s="11" t="s">
        <v>61</v>
      </c>
      <c r="I4" s="12"/>
      <c r="J4" s="9" t="str">
        <f aca="false">IF(I4="","Not counted yet",IF(I4&gt;=50,"Scaling (50+)",IF(I4&gt;=10,"Testing (10–49)",IF(I4&gt;=1,"Low (1–9)","No live ads"))))</f>
        <v>Not counted yet</v>
      </c>
      <c r="K4" s="13"/>
      <c r="L4" s="9" t="s">
        <v>62</v>
      </c>
      <c r="M4" s="14" t="str">
        <f aca="false">IF(K4="","",K4*INDEX(FX!$B$5:$B$11,MATCH(L4,FX!$A$5:$A$11,0)))</f>
        <v/>
      </c>
      <c r="N4" s="15" t="n">
        <v>60</v>
      </c>
      <c r="O4" s="14" t="str">
        <f aca="false">IFERROR(M4/N4,"")</f>
        <v/>
      </c>
      <c r="P4" s="10" t="s">
        <v>63</v>
      </c>
      <c r="Q4" s="10" t="s">
        <v>64</v>
      </c>
      <c r="R4" s="16" t="s">
        <v>50</v>
      </c>
      <c r="S4" s="17" t="s">
        <v>51</v>
      </c>
      <c r="T4" s="18" t="s">
        <v>52</v>
      </c>
      <c r="U4" s="19" t="n">
        <v>119.8</v>
      </c>
      <c r="V4" s="17" t="s">
        <v>53</v>
      </c>
      <c r="W4" s="20" t="n">
        <f aca="false">IF(U4="","",U4*INDEX(FX!$B$5:$B$11,MATCH(V4,FX!$A$5:$A$11,0)))</f>
        <v>28.153</v>
      </c>
      <c r="X4" s="21" t="n">
        <v>60</v>
      </c>
      <c r="Y4" s="20" t="n">
        <f aca="false">IFERROR(W4/X4,"")</f>
        <v>0.469216666666667</v>
      </c>
      <c r="Z4" s="22" t="s">
        <v>54</v>
      </c>
      <c r="AA4" s="23" t="s">
        <v>55</v>
      </c>
      <c r="AB4" s="22" t="s">
        <v>65</v>
      </c>
    </row>
    <row r="5" customFormat="false" ht="23.85" hidden="false" customHeight="false" outlineLevel="0" collapsed="false">
      <c r="A5" s="9" t="n">
        <v>3</v>
      </c>
      <c r="B5" s="9" t="s">
        <v>40</v>
      </c>
      <c r="C5" s="9" t="s">
        <v>66</v>
      </c>
      <c r="D5" s="10" t="s">
        <v>67</v>
      </c>
      <c r="E5" s="9" t="s">
        <v>68</v>
      </c>
      <c r="F5" s="9" t="s">
        <v>69</v>
      </c>
      <c r="G5" s="11" t="s">
        <v>45</v>
      </c>
      <c r="H5" s="11" t="s">
        <v>70</v>
      </c>
      <c r="I5" s="12"/>
      <c r="J5" s="9" t="str">
        <f aca="false">IF(I5="","Not counted yet",IF(I5&gt;=50,"Scaling (50+)",IF(I5&gt;=10,"Testing (10–49)",IF(I5&gt;=1,"Low (1–9)","No live ads"))))</f>
        <v>Not counted yet</v>
      </c>
      <c r="K5" s="13" t="n">
        <v>19.19</v>
      </c>
      <c r="L5" s="9" t="s">
        <v>47</v>
      </c>
      <c r="M5" s="14" t="n">
        <f aca="false">IF(K5="","",K5*INDEX(FX!$B$5:$B$11,MATCH(L5,FX!$A$5:$A$11,0)))</f>
        <v>19.19</v>
      </c>
      <c r="N5" s="15" t="n">
        <v>60</v>
      </c>
      <c r="O5" s="14" t="n">
        <f aca="false">IFERROR(M5/N5,"")</f>
        <v>0.319833333333333</v>
      </c>
      <c r="P5" s="10" t="s">
        <v>71</v>
      </c>
      <c r="Q5" s="10" t="s">
        <v>49</v>
      </c>
      <c r="R5" s="16" t="s">
        <v>72</v>
      </c>
      <c r="S5" s="17" t="s">
        <v>73</v>
      </c>
      <c r="T5" s="18" t="s">
        <v>52</v>
      </c>
      <c r="U5" s="19" t="n">
        <v>105.49</v>
      </c>
      <c r="V5" s="17" t="s">
        <v>74</v>
      </c>
      <c r="W5" s="20" t="n">
        <f aca="false">IF(U5="","",U5*INDEX(FX!$B$5:$B$11,MATCH(V5,FX!$A$5:$A$11,0)))</f>
        <v>21.098</v>
      </c>
      <c r="X5" s="21" t="n">
        <v>60</v>
      </c>
      <c r="Y5" s="20" t="n">
        <f aca="false">IFERROR(W5/X5,"")</f>
        <v>0.351633333333333</v>
      </c>
      <c r="Z5" s="22" t="s">
        <v>54</v>
      </c>
      <c r="AA5" s="23" t="s">
        <v>55</v>
      </c>
      <c r="AB5" s="22" t="s">
        <v>75</v>
      </c>
    </row>
    <row r="6" customFormat="false" ht="23.85" hidden="false" customHeight="false" outlineLevel="0" collapsed="false">
      <c r="A6" s="9" t="n">
        <v>4</v>
      </c>
      <c r="B6" s="9" t="s">
        <v>40</v>
      </c>
      <c r="C6" s="9" t="s">
        <v>57</v>
      </c>
      <c r="D6" s="10" t="s">
        <v>76</v>
      </c>
      <c r="E6" s="9" t="s">
        <v>59</v>
      </c>
      <c r="F6" s="9" t="s">
        <v>60</v>
      </c>
      <c r="G6" s="11" t="s">
        <v>45</v>
      </c>
      <c r="H6" s="11" t="s">
        <v>61</v>
      </c>
      <c r="I6" s="12"/>
      <c r="J6" s="9" t="str">
        <f aca="false">IF(I6="","Not counted yet",IF(I6&gt;=50,"Scaling (50+)",IF(I6&gt;=10,"Testing (10–49)",IF(I6&gt;=1,"Low (1–9)","No live ads"))))</f>
        <v>Not counted yet</v>
      </c>
      <c r="K6" s="13" t="n">
        <v>11.95</v>
      </c>
      <c r="L6" s="9" t="s">
        <v>62</v>
      </c>
      <c r="M6" s="14" t="n">
        <f aca="false">IF(K6="","",K6*INDEX(FX!$B$5:$B$11,MATCH(L6,FX!$A$5:$A$11,0)))</f>
        <v>13.9815</v>
      </c>
      <c r="N6" s="15" t="n">
        <v>60</v>
      </c>
      <c r="O6" s="14" t="n">
        <f aca="false">IFERROR(M6/N6,"")</f>
        <v>0.233025</v>
      </c>
      <c r="P6" s="10" t="s">
        <v>77</v>
      </c>
      <c r="Q6" s="10" t="s">
        <v>64</v>
      </c>
      <c r="R6" s="16" t="s">
        <v>72</v>
      </c>
      <c r="S6" s="17" t="s">
        <v>73</v>
      </c>
      <c r="T6" s="18" t="s">
        <v>52</v>
      </c>
      <c r="U6" s="19" t="n">
        <v>105.49</v>
      </c>
      <c r="V6" s="17" t="s">
        <v>74</v>
      </c>
      <c r="W6" s="20" t="n">
        <f aca="false">IF(U6="","",U6*INDEX(FX!$B$5:$B$11,MATCH(V6,FX!$A$5:$A$11,0)))</f>
        <v>21.098</v>
      </c>
      <c r="X6" s="21" t="n">
        <v>60</v>
      </c>
      <c r="Y6" s="20" t="n">
        <f aca="false">IFERROR(W6/X6,"")</f>
        <v>0.351633333333333</v>
      </c>
      <c r="Z6" s="22" t="s">
        <v>54</v>
      </c>
      <c r="AA6" s="23" t="s">
        <v>55</v>
      </c>
      <c r="AB6" s="22"/>
    </row>
    <row r="7" customFormat="false" ht="15" hidden="false" customHeight="false" outlineLevel="0" collapsed="false">
      <c r="A7" s="9" t="n">
        <v>5</v>
      </c>
      <c r="B7" s="9" t="s">
        <v>78</v>
      </c>
      <c r="C7" s="9" t="s">
        <v>79</v>
      </c>
      <c r="D7" s="10" t="s">
        <v>80</v>
      </c>
      <c r="E7" s="9" t="s">
        <v>59</v>
      </c>
      <c r="F7" s="9" t="s">
        <v>81</v>
      </c>
      <c r="G7" s="11" t="s">
        <v>45</v>
      </c>
      <c r="H7" s="11" t="s">
        <v>82</v>
      </c>
      <c r="I7" s="12"/>
      <c r="J7" s="9" t="str">
        <f aca="false">IF(I7="","Not counted yet",IF(I7&gt;=50,"Scaling (50+)",IF(I7&gt;=10,"Testing (10–49)",IF(I7&gt;=1,"Low (1–9)","No live ads"))))</f>
        <v>Not counted yet</v>
      </c>
      <c r="K7" s="13" t="n">
        <v>25.99</v>
      </c>
      <c r="L7" s="9" t="s">
        <v>62</v>
      </c>
      <c r="M7" s="14" t="n">
        <f aca="false">IF(K7="","",K7*INDEX(FX!$B$5:$B$11,MATCH(L7,FX!$A$5:$A$11,0)))</f>
        <v>30.4083</v>
      </c>
      <c r="N7" s="15" t="n">
        <v>60</v>
      </c>
      <c r="O7" s="14" t="n">
        <f aca="false">IFERROR(M7/N7,"")</f>
        <v>0.506805</v>
      </c>
      <c r="P7" s="10" t="s">
        <v>83</v>
      </c>
      <c r="Q7" s="10" t="s">
        <v>64</v>
      </c>
      <c r="R7" s="16" t="s">
        <v>84</v>
      </c>
      <c r="S7" s="17" t="s">
        <v>85</v>
      </c>
      <c r="T7" s="18" t="s">
        <v>52</v>
      </c>
      <c r="U7" s="19"/>
      <c r="V7" s="17" t="s">
        <v>47</v>
      </c>
      <c r="W7" s="20" t="str">
        <f aca="false">IF(U7="","",U7*INDEX(FX!$B$5:$B$11,MATCH(V7,FX!$A$5:$A$11,0)))</f>
        <v/>
      </c>
      <c r="X7" s="21" t="n">
        <v>60</v>
      </c>
      <c r="Y7" s="20" t="str">
        <f aca="false">IFERROR(W7/X7,"")</f>
        <v/>
      </c>
      <c r="Z7" s="22" t="s">
        <v>54</v>
      </c>
      <c r="AA7" s="23" t="s">
        <v>86</v>
      </c>
      <c r="AB7" s="22" t="s">
        <v>87</v>
      </c>
    </row>
    <row r="8" customFormat="false" ht="15" hidden="false" customHeight="false" outlineLevel="0" collapsed="false">
      <c r="A8" s="9" t="n">
        <v>6</v>
      </c>
      <c r="B8" s="9" t="s">
        <v>78</v>
      </c>
      <c r="C8" s="9" t="s">
        <v>88</v>
      </c>
      <c r="D8" s="10" t="s">
        <v>89</v>
      </c>
      <c r="E8" s="9" t="s">
        <v>59</v>
      </c>
      <c r="F8" s="9" t="s">
        <v>81</v>
      </c>
      <c r="G8" s="11" t="s">
        <v>45</v>
      </c>
      <c r="H8" s="11" t="s">
        <v>90</v>
      </c>
      <c r="I8" s="12"/>
      <c r="J8" s="9" t="str">
        <f aca="false">IF(I8="","Not counted yet",IF(I8&gt;=50,"Scaling (50+)",IF(I8&gt;=10,"Testing (10–49)",IF(I8&gt;=1,"Low (1–9)","No live ads"))))</f>
        <v>Not counted yet</v>
      </c>
      <c r="K8" s="13" t="n">
        <v>17.99</v>
      </c>
      <c r="L8" s="9" t="s">
        <v>62</v>
      </c>
      <c r="M8" s="14" t="n">
        <f aca="false">IF(K8="","",K8*INDEX(FX!$B$5:$B$11,MATCH(L8,FX!$A$5:$A$11,0)))</f>
        <v>21.0483</v>
      </c>
      <c r="N8" s="15" t="n">
        <v>60</v>
      </c>
      <c r="O8" s="14" t="n">
        <f aca="false">IFERROR(M8/N8,"")</f>
        <v>0.350805</v>
      </c>
      <c r="P8" s="10" t="s">
        <v>91</v>
      </c>
      <c r="Q8" s="10" t="s">
        <v>64</v>
      </c>
      <c r="R8" s="16" t="s">
        <v>84</v>
      </c>
      <c r="S8" s="17" t="s">
        <v>85</v>
      </c>
      <c r="T8" s="18" t="s">
        <v>52</v>
      </c>
      <c r="U8" s="19"/>
      <c r="V8" s="17" t="s">
        <v>47</v>
      </c>
      <c r="W8" s="20" t="str">
        <f aca="false">IF(U8="","",U8*INDEX(FX!$B$5:$B$11,MATCH(V8,FX!$A$5:$A$11,0)))</f>
        <v/>
      </c>
      <c r="X8" s="21" t="n">
        <v>60</v>
      </c>
      <c r="Y8" s="20" t="str">
        <f aca="false">IFERROR(W8/X8,"")</f>
        <v/>
      </c>
      <c r="Z8" s="22" t="s">
        <v>54</v>
      </c>
      <c r="AA8" s="23" t="s">
        <v>86</v>
      </c>
      <c r="AB8" s="22"/>
    </row>
    <row r="9" customFormat="false" ht="15" hidden="false" customHeight="false" outlineLevel="0" collapsed="false">
      <c r="A9" s="9" t="n">
        <v>7</v>
      </c>
      <c r="B9" s="9" t="s">
        <v>78</v>
      </c>
      <c r="C9" s="9" t="s">
        <v>92</v>
      </c>
      <c r="D9" s="10" t="s">
        <v>93</v>
      </c>
      <c r="E9" s="9" t="s">
        <v>59</v>
      </c>
      <c r="F9" s="9" t="s">
        <v>81</v>
      </c>
      <c r="G9" s="11" t="s">
        <v>45</v>
      </c>
      <c r="H9" s="11" t="s">
        <v>94</v>
      </c>
      <c r="I9" s="12"/>
      <c r="J9" s="9" t="str">
        <f aca="false">IF(I9="","Not counted yet",IF(I9&gt;=50,"Scaling (50+)",IF(I9&gt;=10,"Testing (10–49)",IF(I9&gt;=1,"Low (1–9)","No live ads"))))</f>
        <v>Not counted yet</v>
      </c>
      <c r="K9" s="13"/>
      <c r="L9" s="9" t="s">
        <v>62</v>
      </c>
      <c r="M9" s="14" t="str">
        <f aca="false">IF(K9="","",K9*INDEX(FX!$B$5:$B$11,MATCH(L9,FX!$A$5:$A$11,0)))</f>
        <v/>
      </c>
      <c r="N9" s="15" t="n">
        <v>60</v>
      </c>
      <c r="O9" s="14" t="str">
        <f aca="false">IFERROR(M9/N9,"")</f>
        <v/>
      </c>
      <c r="P9" s="10" t="s">
        <v>95</v>
      </c>
      <c r="Q9" s="10" t="s">
        <v>64</v>
      </c>
      <c r="R9" s="16" t="s">
        <v>84</v>
      </c>
      <c r="S9" s="17" t="s">
        <v>85</v>
      </c>
      <c r="T9" s="18" t="s">
        <v>52</v>
      </c>
      <c r="U9" s="19"/>
      <c r="V9" s="17" t="s">
        <v>47</v>
      </c>
      <c r="W9" s="20" t="str">
        <f aca="false">IF(U9="","",U9*INDEX(FX!$B$5:$B$11,MATCH(V9,FX!$A$5:$A$11,0)))</f>
        <v/>
      </c>
      <c r="X9" s="21" t="n">
        <v>60</v>
      </c>
      <c r="Y9" s="20" t="str">
        <f aca="false">IFERROR(W9/X9,"")</f>
        <v/>
      </c>
      <c r="Z9" s="22" t="s">
        <v>54</v>
      </c>
      <c r="AA9" s="23" t="s">
        <v>86</v>
      </c>
      <c r="AB9" s="22" t="s">
        <v>65</v>
      </c>
    </row>
    <row r="10" customFormat="false" ht="15" hidden="false" customHeight="false" outlineLevel="0" collapsed="false">
      <c r="A10" s="9" t="n">
        <v>8</v>
      </c>
      <c r="B10" s="9" t="s">
        <v>78</v>
      </c>
      <c r="C10" s="9" t="s">
        <v>96</v>
      </c>
      <c r="D10" s="10" t="s">
        <v>97</v>
      </c>
      <c r="E10" s="9" t="s">
        <v>59</v>
      </c>
      <c r="F10" s="9" t="s">
        <v>98</v>
      </c>
      <c r="G10" s="11" t="s">
        <v>45</v>
      </c>
      <c r="H10" s="11" t="s">
        <v>99</v>
      </c>
      <c r="I10" s="12"/>
      <c r="J10" s="9" t="str">
        <f aca="false">IF(I10="","Not counted yet",IF(I10&gt;=50,"Scaling (50+)",IF(I10&gt;=10,"Testing (10–49)",IF(I10&gt;=1,"Low (1–9)","No live ads"))))</f>
        <v>Not counted yet</v>
      </c>
      <c r="K10" s="13" t="n">
        <v>12.95</v>
      </c>
      <c r="L10" s="9" t="s">
        <v>62</v>
      </c>
      <c r="M10" s="14" t="n">
        <f aca="false">IF(K10="","",K10*INDEX(FX!$B$5:$B$11,MATCH(L10,FX!$A$5:$A$11,0)))</f>
        <v>15.1515</v>
      </c>
      <c r="N10" s="15" t="n">
        <v>60</v>
      </c>
      <c r="O10" s="14" t="n">
        <f aca="false">IFERROR(M10/N10,"")</f>
        <v>0.252525</v>
      </c>
      <c r="P10" s="10" t="s">
        <v>100</v>
      </c>
      <c r="Q10" s="10" t="s">
        <v>64</v>
      </c>
      <c r="R10" s="16" t="s">
        <v>84</v>
      </c>
      <c r="S10" s="17" t="s">
        <v>85</v>
      </c>
      <c r="T10" s="18" t="s">
        <v>52</v>
      </c>
      <c r="U10" s="19"/>
      <c r="V10" s="17" t="s">
        <v>47</v>
      </c>
      <c r="W10" s="20" t="str">
        <f aca="false">IF(U10="","",U10*INDEX(FX!$B$5:$B$11,MATCH(V10,FX!$A$5:$A$11,0)))</f>
        <v/>
      </c>
      <c r="X10" s="21" t="n">
        <v>60</v>
      </c>
      <c r="Y10" s="20" t="str">
        <f aca="false">IFERROR(W10/X10,"")</f>
        <v/>
      </c>
      <c r="Z10" s="22" t="s">
        <v>54</v>
      </c>
      <c r="AA10" s="23" t="s">
        <v>86</v>
      </c>
      <c r="AB10" s="22" t="s">
        <v>101</v>
      </c>
    </row>
    <row r="11" customFormat="false" ht="15" hidden="false" customHeight="false" outlineLevel="0" collapsed="false">
      <c r="A11" s="9" t="n">
        <v>9</v>
      </c>
      <c r="B11" s="9" t="s">
        <v>78</v>
      </c>
      <c r="C11" s="9" t="s">
        <v>102</v>
      </c>
      <c r="D11" s="10" t="s">
        <v>103</v>
      </c>
      <c r="E11" s="9" t="s">
        <v>104</v>
      </c>
      <c r="F11" s="9" t="s">
        <v>105</v>
      </c>
      <c r="G11" s="11" t="s">
        <v>45</v>
      </c>
      <c r="H11" s="11" t="s">
        <v>106</v>
      </c>
      <c r="I11" s="12"/>
      <c r="J11" s="9" t="str">
        <f aca="false">IF(I11="","Not counted yet",IF(I11&gt;=50,"Scaling (50+)",IF(I11&gt;=10,"Testing (10–49)",IF(I11&gt;=1,"Low (1–9)","No live ads"))))</f>
        <v>Not counted yet</v>
      </c>
      <c r="K11" s="13" t="n">
        <v>24.99</v>
      </c>
      <c r="L11" s="9" t="s">
        <v>62</v>
      </c>
      <c r="M11" s="14" t="n">
        <f aca="false">IF(K11="","",K11*INDEX(FX!$B$5:$B$11,MATCH(L11,FX!$A$5:$A$11,0)))</f>
        <v>29.2383</v>
      </c>
      <c r="N11" s="15" t="n">
        <v>60</v>
      </c>
      <c r="O11" s="14" t="n">
        <f aca="false">IFERROR(M11/N11,"")</f>
        <v>0.487305</v>
      </c>
      <c r="P11" s="10" t="s">
        <v>107</v>
      </c>
      <c r="Q11" s="10" t="s">
        <v>108</v>
      </c>
      <c r="R11" s="16" t="s">
        <v>84</v>
      </c>
      <c r="S11" s="17" t="s">
        <v>85</v>
      </c>
      <c r="T11" s="18" t="s">
        <v>52</v>
      </c>
      <c r="U11" s="19"/>
      <c r="V11" s="17" t="s">
        <v>47</v>
      </c>
      <c r="W11" s="20" t="str">
        <f aca="false">IF(U11="","",U11*INDEX(FX!$B$5:$B$11,MATCH(V11,FX!$A$5:$A$11,0)))</f>
        <v/>
      </c>
      <c r="X11" s="21" t="n">
        <v>60</v>
      </c>
      <c r="Y11" s="20" t="str">
        <f aca="false">IFERROR(W11/X11,"")</f>
        <v/>
      </c>
      <c r="Z11" s="22" t="s">
        <v>54</v>
      </c>
      <c r="AA11" s="23" t="s">
        <v>86</v>
      </c>
      <c r="AB11" s="22" t="s">
        <v>109</v>
      </c>
    </row>
    <row r="12" customFormat="false" ht="23.85" hidden="false" customHeight="false" outlineLevel="0" collapsed="false">
      <c r="A12" s="9" t="n">
        <v>10</v>
      </c>
      <c r="B12" s="9" t="s">
        <v>110</v>
      </c>
      <c r="C12" s="9" t="s">
        <v>81</v>
      </c>
      <c r="D12" s="10" t="s">
        <v>111</v>
      </c>
      <c r="E12" s="9" t="s">
        <v>59</v>
      </c>
      <c r="F12" s="9" t="s">
        <v>81</v>
      </c>
      <c r="G12" s="11" t="s">
        <v>45</v>
      </c>
      <c r="H12" s="11" t="s">
        <v>112</v>
      </c>
      <c r="I12" s="12"/>
      <c r="J12" s="9" t="str">
        <f aca="false">IF(I12="","Not counted yet",IF(I12&gt;=50,"Scaling (50+)",IF(I12&gt;=10,"Testing (10–49)",IF(I12&gt;=1,"Low (1–9)","No live ads"))))</f>
        <v>Not counted yet</v>
      </c>
      <c r="K12" s="13" t="n">
        <v>16.99</v>
      </c>
      <c r="L12" s="9" t="s">
        <v>62</v>
      </c>
      <c r="M12" s="14" t="n">
        <f aca="false">IF(K12="","",K12*INDEX(FX!$B$5:$B$11,MATCH(L12,FX!$A$5:$A$11,0)))</f>
        <v>19.8783</v>
      </c>
      <c r="N12" s="15" t="n">
        <v>60</v>
      </c>
      <c r="O12" s="14" t="n">
        <f aca="false">IFERROR(M12/N12,"")</f>
        <v>0.331305</v>
      </c>
      <c r="P12" s="10" t="s">
        <v>113</v>
      </c>
      <c r="Q12" s="10" t="s">
        <v>114</v>
      </c>
      <c r="R12" s="24" t="s">
        <v>115</v>
      </c>
      <c r="S12" s="17" t="s">
        <v>54</v>
      </c>
      <c r="T12" s="17" t="s">
        <v>54</v>
      </c>
      <c r="U12" s="19"/>
      <c r="V12" s="17"/>
      <c r="W12" s="20" t="str">
        <f aca="false">IF(U12="","",U12*INDEX(FX!$B$5:$B$11,MATCH(V12,FX!$A$5:$A$11,0)))</f>
        <v/>
      </c>
      <c r="X12" s="21"/>
      <c r="Y12" s="20" t="str">
        <f aca="false">IFERROR(W12/X12,"")</f>
        <v/>
      </c>
      <c r="Z12" s="22" t="s">
        <v>54</v>
      </c>
      <c r="AA12" s="23" t="s">
        <v>86</v>
      </c>
      <c r="AB12" s="22" t="s">
        <v>116</v>
      </c>
    </row>
    <row r="13" customFormat="false" ht="15" hidden="false" customHeight="false" outlineLevel="0" collapsed="false">
      <c r="A13" s="9" t="n">
        <v>11</v>
      </c>
      <c r="B13" s="9" t="s">
        <v>110</v>
      </c>
      <c r="C13" s="9" t="s">
        <v>92</v>
      </c>
      <c r="D13" s="10" t="s">
        <v>117</v>
      </c>
      <c r="E13" s="9" t="s">
        <v>118</v>
      </c>
      <c r="F13" s="9" t="s">
        <v>119</v>
      </c>
      <c r="G13" s="11" t="s">
        <v>45</v>
      </c>
      <c r="H13" s="11" t="s">
        <v>94</v>
      </c>
      <c r="I13" s="12"/>
      <c r="J13" s="9" t="str">
        <f aca="false">IF(I13="","Not counted yet",IF(I13&gt;=50,"Scaling (50+)",IF(I13&gt;=10,"Testing (10–49)",IF(I13&gt;=1,"Low (1–9)","No live ads"))))</f>
        <v>Not counted yet</v>
      </c>
      <c r="K13" s="13" t="n">
        <v>19.99</v>
      </c>
      <c r="L13" s="9" t="s">
        <v>62</v>
      </c>
      <c r="M13" s="14" t="n">
        <f aca="false">IF(K13="","",K13*INDEX(FX!$B$5:$B$11,MATCH(L13,FX!$A$5:$A$11,0)))</f>
        <v>23.3883</v>
      </c>
      <c r="N13" s="15" t="n">
        <v>60</v>
      </c>
      <c r="O13" s="14" t="n">
        <f aca="false">IFERROR(M13/N13,"")</f>
        <v>0.389805</v>
      </c>
      <c r="P13" s="10" t="s">
        <v>120</v>
      </c>
      <c r="Q13" s="10" t="s">
        <v>64</v>
      </c>
      <c r="R13" s="24" t="s">
        <v>115</v>
      </c>
      <c r="S13" s="17" t="s">
        <v>54</v>
      </c>
      <c r="T13" s="17" t="s">
        <v>54</v>
      </c>
      <c r="U13" s="19"/>
      <c r="V13" s="17"/>
      <c r="W13" s="20" t="str">
        <f aca="false">IF(U13="","",U13*INDEX(FX!$B$5:$B$11,MATCH(V13,FX!$A$5:$A$11,0)))</f>
        <v/>
      </c>
      <c r="X13" s="21"/>
      <c r="Y13" s="20" t="str">
        <f aca="false">IFERROR(W13/X13,"")</f>
        <v/>
      </c>
      <c r="Z13" s="22" t="s">
        <v>54</v>
      </c>
      <c r="AA13" s="23" t="s">
        <v>86</v>
      </c>
      <c r="AB13" s="22" t="s">
        <v>121</v>
      </c>
    </row>
    <row r="14" customFormat="false" ht="23.85" hidden="false" customHeight="false" outlineLevel="0" collapsed="false">
      <c r="A14" s="9" t="n">
        <v>12</v>
      </c>
      <c r="B14" s="9" t="s">
        <v>122</v>
      </c>
      <c r="C14" s="9" t="s">
        <v>123</v>
      </c>
      <c r="D14" s="10" t="s">
        <v>124</v>
      </c>
      <c r="E14" s="9" t="s">
        <v>68</v>
      </c>
      <c r="F14" s="9" t="s">
        <v>69</v>
      </c>
      <c r="G14" s="11" t="s">
        <v>45</v>
      </c>
      <c r="H14" s="11" t="s">
        <v>125</v>
      </c>
      <c r="I14" s="12"/>
      <c r="J14" s="9" t="str">
        <f aca="false">IF(I14="","Not counted yet",IF(I14&gt;=50,"Scaling (50+)",IF(I14&gt;=10,"Testing (10–49)",IF(I14&gt;=1,"Low (1–9)","No live ads"))))</f>
        <v>Not counted yet</v>
      </c>
      <c r="K14" s="13" t="n">
        <v>18.69</v>
      </c>
      <c r="L14" s="9" t="s">
        <v>47</v>
      </c>
      <c r="M14" s="14" t="n">
        <f aca="false">IF(K14="","",K14*INDEX(FX!$B$5:$B$11,MATCH(L14,FX!$A$5:$A$11,0)))</f>
        <v>18.69</v>
      </c>
      <c r="N14" s="15" t="n">
        <v>60</v>
      </c>
      <c r="O14" s="14" t="n">
        <f aca="false">IFERROR(M14/N14,"")</f>
        <v>0.3115</v>
      </c>
      <c r="P14" s="10" t="s">
        <v>126</v>
      </c>
      <c r="Q14" s="10" t="s">
        <v>127</v>
      </c>
      <c r="R14" s="16" t="s">
        <v>128</v>
      </c>
      <c r="S14" s="17" t="s">
        <v>129</v>
      </c>
      <c r="T14" s="18" t="s">
        <v>52</v>
      </c>
      <c r="U14" s="19" t="n">
        <v>120.22</v>
      </c>
      <c r="V14" s="17" t="s">
        <v>53</v>
      </c>
      <c r="W14" s="20" t="n">
        <f aca="false">IF(U14="","",U14*INDEX(FX!$B$5:$B$11,MATCH(V14,FX!$A$5:$A$11,0)))</f>
        <v>28.2517</v>
      </c>
      <c r="X14" s="21" t="n">
        <v>60</v>
      </c>
      <c r="Y14" s="20" t="n">
        <f aca="false">IFERROR(W14/X14,"")</f>
        <v>0.470861666666667</v>
      </c>
      <c r="Z14" s="22" t="s">
        <v>130</v>
      </c>
      <c r="AA14" s="23" t="s">
        <v>131</v>
      </c>
      <c r="AB14" s="22" t="s">
        <v>132</v>
      </c>
    </row>
    <row r="15" customFormat="false" ht="23.85" hidden="false" customHeight="false" outlineLevel="0" collapsed="false">
      <c r="A15" s="9" t="n">
        <v>13</v>
      </c>
      <c r="B15" s="9" t="s">
        <v>122</v>
      </c>
      <c r="C15" s="9" t="s">
        <v>133</v>
      </c>
      <c r="D15" s="10" t="s">
        <v>134</v>
      </c>
      <c r="E15" s="9" t="s">
        <v>43</v>
      </c>
      <c r="F15" s="9" t="s">
        <v>135</v>
      </c>
      <c r="G15" s="11" t="s">
        <v>45</v>
      </c>
      <c r="H15" s="11" t="s">
        <v>136</v>
      </c>
      <c r="I15" s="12"/>
      <c r="J15" s="9" t="str">
        <f aca="false">IF(I15="","Not counted yet",IF(I15&gt;=50,"Scaling (50+)",IF(I15&gt;=10,"Testing (10–49)",IF(I15&gt;=1,"Low (1–9)","No live ads"))))</f>
        <v>Not counted yet</v>
      </c>
      <c r="K15" s="13"/>
      <c r="L15" s="9" t="s">
        <v>47</v>
      </c>
      <c r="M15" s="14" t="str">
        <f aca="false">IF(K15="","",K15*INDEX(FX!$B$5:$B$11,MATCH(L15,FX!$A$5:$A$11,0)))</f>
        <v/>
      </c>
      <c r="N15" s="15" t="n">
        <v>60</v>
      </c>
      <c r="O15" s="14" t="str">
        <f aca="false">IFERROR(M15/N15,"")</f>
        <v/>
      </c>
      <c r="P15" s="10" t="s">
        <v>137</v>
      </c>
      <c r="Q15" s="10" t="s">
        <v>138</v>
      </c>
      <c r="R15" s="16" t="s">
        <v>128</v>
      </c>
      <c r="S15" s="17" t="s">
        <v>129</v>
      </c>
      <c r="T15" s="18" t="s">
        <v>52</v>
      </c>
      <c r="U15" s="19" t="n">
        <v>120.22</v>
      </c>
      <c r="V15" s="17" t="s">
        <v>53</v>
      </c>
      <c r="W15" s="20" t="n">
        <f aca="false">IF(U15="","",U15*INDEX(FX!$B$5:$B$11,MATCH(V15,FX!$A$5:$A$11,0)))</f>
        <v>28.2517</v>
      </c>
      <c r="X15" s="21" t="n">
        <v>60</v>
      </c>
      <c r="Y15" s="20" t="n">
        <f aca="false">IFERROR(W15/X15,"")</f>
        <v>0.470861666666667</v>
      </c>
      <c r="Z15" s="22" t="s">
        <v>130</v>
      </c>
      <c r="AA15" s="23" t="s">
        <v>131</v>
      </c>
      <c r="AB15" s="22" t="s">
        <v>65</v>
      </c>
    </row>
    <row r="16" customFormat="false" ht="23.85" hidden="false" customHeight="false" outlineLevel="0" collapsed="false">
      <c r="A16" s="9" t="n">
        <v>14</v>
      </c>
      <c r="B16" s="9" t="s">
        <v>139</v>
      </c>
      <c r="C16" s="9" t="s">
        <v>140</v>
      </c>
      <c r="D16" s="10" t="s">
        <v>141</v>
      </c>
      <c r="E16" s="9" t="s">
        <v>142</v>
      </c>
      <c r="F16" s="9" t="s">
        <v>143</v>
      </c>
      <c r="G16" s="11" t="s">
        <v>45</v>
      </c>
      <c r="H16" s="11" t="s">
        <v>144</v>
      </c>
      <c r="I16" s="12"/>
      <c r="J16" s="9" t="str">
        <f aca="false">IF(I16="","Not counted yet",IF(I16&gt;=50,"Scaling (50+)",IF(I16&gt;=10,"Testing (10–49)",IF(I16&gt;=1,"Low (1–9)","No live ads"))))</f>
        <v>Not counted yet</v>
      </c>
      <c r="K16" s="13"/>
      <c r="L16" s="9" t="s">
        <v>62</v>
      </c>
      <c r="M16" s="14" t="str">
        <f aca="false">IF(K16="","",K16*INDEX(FX!$B$5:$B$11,MATCH(L16,FX!$A$5:$A$11,0)))</f>
        <v/>
      </c>
      <c r="N16" s="15" t="n">
        <v>60</v>
      </c>
      <c r="O16" s="14" t="str">
        <f aca="false">IFERROR(M16/N16,"")</f>
        <v/>
      </c>
      <c r="P16" s="10" t="s">
        <v>145</v>
      </c>
      <c r="Q16" s="10" t="s">
        <v>146</v>
      </c>
      <c r="R16" s="24" t="s">
        <v>115</v>
      </c>
      <c r="S16" s="17" t="s">
        <v>54</v>
      </c>
      <c r="T16" s="17" t="s">
        <v>54</v>
      </c>
      <c r="U16" s="19"/>
      <c r="V16" s="17"/>
      <c r="W16" s="20" t="str">
        <f aca="false">IF(U16="","",U16*INDEX(FX!$B$5:$B$11,MATCH(V16,FX!$A$5:$A$11,0)))</f>
        <v/>
      </c>
      <c r="X16" s="21"/>
      <c r="Y16" s="20" t="str">
        <f aca="false">IFERROR(W16/X16,"")</f>
        <v/>
      </c>
      <c r="Z16" s="22" t="s">
        <v>54</v>
      </c>
      <c r="AA16" s="23" t="s">
        <v>147</v>
      </c>
      <c r="AB16" s="22" t="s">
        <v>148</v>
      </c>
    </row>
    <row r="17" customFormat="false" ht="15" hidden="false" customHeight="false" outlineLevel="0" collapsed="false">
      <c r="A17" s="9" t="n">
        <v>15</v>
      </c>
      <c r="B17" s="9" t="s">
        <v>149</v>
      </c>
      <c r="C17" s="9" t="s">
        <v>150</v>
      </c>
      <c r="D17" s="10" t="s">
        <v>151</v>
      </c>
      <c r="E17" s="9" t="s">
        <v>59</v>
      </c>
      <c r="F17" s="9" t="s">
        <v>152</v>
      </c>
      <c r="G17" s="11" t="s">
        <v>45</v>
      </c>
      <c r="H17" s="11" t="s">
        <v>153</v>
      </c>
      <c r="I17" s="12"/>
      <c r="J17" s="9" t="str">
        <f aca="false">IF(I17="","Not counted yet",IF(I17&gt;=50,"Scaling (50+)",IF(I17&gt;=10,"Testing (10–49)",IF(I17&gt;=1,"Low (1–9)","No live ads"))))</f>
        <v>Not counted yet</v>
      </c>
      <c r="K17" s="13" t="n">
        <v>24.51</v>
      </c>
      <c r="L17" s="9" t="s">
        <v>62</v>
      </c>
      <c r="M17" s="14" t="n">
        <f aca="false">IF(K17="","",K17*INDEX(FX!$B$5:$B$11,MATCH(L17,FX!$A$5:$A$11,0)))</f>
        <v>28.6767</v>
      </c>
      <c r="N17" s="15" t="n">
        <v>42</v>
      </c>
      <c r="O17" s="14" t="n">
        <f aca="false">IFERROR(M17/N17,"")</f>
        <v>0.682778571428572</v>
      </c>
      <c r="P17" s="10" t="s">
        <v>154</v>
      </c>
      <c r="Q17" s="10" t="s">
        <v>155</v>
      </c>
      <c r="R17" s="24" t="s">
        <v>115</v>
      </c>
      <c r="S17" s="17" t="s">
        <v>54</v>
      </c>
      <c r="T17" s="17" t="s">
        <v>54</v>
      </c>
      <c r="U17" s="19"/>
      <c r="V17" s="17"/>
      <c r="W17" s="20" t="str">
        <f aca="false">IF(U17="","",U17*INDEX(FX!$B$5:$B$11,MATCH(V17,FX!$A$5:$A$11,0)))</f>
        <v/>
      </c>
      <c r="X17" s="21"/>
      <c r="Y17" s="20" t="str">
        <f aca="false">IFERROR(W17/X17,"")</f>
        <v/>
      </c>
      <c r="Z17" s="22" t="s">
        <v>54</v>
      </c>
      <c r="AA17" s="23" t="s">
        <v>147</v>
      </c>
      <c r="AB17" s="22" t="s">
        <v>156</v>
      </c>
    </row>
    <row r="18" customFormat="false" ht="15" hidden="false" customHeight="false" outlineLevel="0" collapsed="false">
      <c r="A18" s="9" t="n">
        <v>16</v>
      </c>
      <c r="B18" s="9" t="s">
        <v>149</v>
      </c>
      <c r="C18" s="9" t="s">
        <v>157</v>
      </c>
      <c r="D18" s="10" t="s">
        <v>158</v>
      </c>
      <c r="E18" s="9" t="s">
        <v>59</v>
      </c>
      <c r="F18" s="9" t="s">
        <v>159</v>
      </c>
      <c r="G18" s="11" t="s">
        <v>45</v>
      </c>
      <c r="H18" s="11" t="s">
        <v>160</v>
      </c>
      <c r="I18" s="12"/>
      <c r="J18" s="9" t="str">
        <f aca="false">IF(I18="","Not counted yet",IF(I18&gt;=50,"Scaling (50+)",IF(I18&gt;=10,"Testing (10–49)",IF(I18&gt;=1,"Low (1–9)","No live ads"))))</f>
        <v>Not counted yet</v>
      </c>
      <c r="K18" s="13"/>
      <c r="L18" s="9" t="s">
        <v>62</v>
      </c>
      <c r="M18" s="14" t="str">
        <f aca="false">IF(K18="","",K18*INDEX(FX!$B$5:$B$11,MATCH(L18,FX!$A$5:$A$11,0)))</f>
        <v/>
      </c>
      <c r="N18" s="15" t="n">
        <v>60</v>
      </c>
      <c r="O18" s="14" t="str">
        <f aca="false">IFERROR(M18/N18,"")</f>
        <v/>
      </c>
      <c r="P18" s="10" t="s">
        <v>161</v>
      </c>
      <c r="Q18" s="10" t="s">
        <v>162</v>
      </c>
      <c r="R18" s="24" t="s">
        <v>115</v>
      </c>
      <c r="S18" s="17" t="s">
        <v>54</v>
      </c>
      <c r="T18" s="17" t="s">
        <v>54</v>
      </c>
      <c r="U18" s="19"/>
      <c r="V18" s="17"/>
      <c r="W18" s="20" t="str">
        <f aca="false">IF(U18="","",U18*INDEX(FX!$B$5:$B$11,MATCH(V18,FX!$A$5:$A$11,0)))</f>
        <v/>
      </c>
      <c r="X18" s="21"/>
      <c r="Y18" s="20" t="str">
        <f aca="false">IFERROR(W18/X18,"")</f>
        <v/>
      </c>
      <c r="Z18" s="22" t="s">
        <v>54</v>
      </c>
      <c r="AA18" s="23" t="s">
        <v>147</v>
      </c>
      <c r="AB18" s="22" t="s">
        <v>65</v>
      </c>
    </row>
    <row r="19" customFormat="false" ht="23.85" hidden="false" customHeight="false" outlineLevel="0" collapsed="false">
      <c r="A19" s="9" t="n">
        <v>17</v>
      </c>
      <c r="B19" s="9" t="s">
        <v>163</v>
      </c>
      <c r="C19" s="9" t="s">
        <v>41</v>
      </c>
      <c r="D19" s="10" t="s">
        <v>164</v>
      </c>
      <c r="E19" s="9" t="s">
        <v>165</v>
      </c>
      <c r="F19" s="9" t="s">
        <v>166</v>
      </c>
      <c r="G19" s="11" t="s">
        <v>45</v>
      </c>
      <c r="H19" s="11" t="s">
        <v>46</v>
      </c>
      <c r="I19" s="12"/>
      <c r="J19" s="9" t="str">
        <f aca="false">IF(I19="","Not counted yet",IF(I19&gt;=50,"Scaling (50+)",IF(I19&gt;=10,"Testing (10–49)",IF(I19&gt;=1,"Low (1–9)","No live ads"))))</f>
        <v>Not counted yet</v>
      </c>
      <c r="K19" s="13" t="n">
        <v>14.9</v>
      </c>
      <c r="L19" s="9" t="s">
        <v>47</v>
      </c>
      <c r="M19" s="14" t="n">
        <f aca="false">IF(K19="","",K19*INDEX(FX!$B$5:$B$11,MATCH(L19,FX!$A$5:$A$11,0)))</f>
        <v>14.9</v>
      </c>
      <c r="N19" s="15" t="n">
        <v>45</v>
      </c>
      <c r="O19" s="14" t="n">
        <f aca="false">IFERROR(M19/N19,"")</f>
        <v>0.331111111111111</v>
      </c>
      <c r="P19" s="10" t="s">
        <v>167</v>
      </c>
      <c r="Q19" s="10" t="s">
        <v>49</v>
      </c>
      <c r="R19" s="16" t="s">
        <v>168</v>
      </c>
      <c r="S19" s="17" t="s">
        <v>169</v>
      </c>
      <c r="T19" s="18" t="s">
        <v>52</v>
      </c>
      <c r="U19" s="19"/>
      <c r="V19" s="17" t="s">
        <v>47</v>
      </c>
      <c r="W19" s="20" t="str">
        <f aca="false">IF(U19="","",U19*INDEX(FX!$B$5:$B$11,MATCH(V19,FX!$A$5:$A$11,0)))</f>
        <v/>
      </c>
      <c r="X19" s="21" t="n">
        <v>60</v>
      </c>
      <c r="Y19" s="20" t="str">
        <f aca="false">IFERROR(W19/X19,"")</f>
        <v/>
      </c>
      <c r="Z19" s="22" t="s">
        <v>170</v>
      </c>
      <c r="AA19" s="23" t="s">
        <v>171</v>
      </c>
      <c r="AB19" s="22" t="s">
        <v>172</v>
      </c>
    </row>
    <row r="20" customFormat="false" ht="23.85" hidden="false" customHeight="false" outlineLevel="0" collapsed="false">
      <c r="A20" s="9" t="n">
        <v>18</v>
      </c>
      <c r="B20" s="9" t="s">
        <v>163</v>
      </c>
      <c r="C20" s="9" t="s">
        <v>173</v>
      </c>
      <c r="D20" s="10" t="s">
        <v>174</v>
      </c>
      <c r="E20" s="9" t="s">
        <v>175</v>
      </c>
      <c r="F20" s="9" t="s">
        <v>176</v>
      </c>
      <c r="G20" s="11" t="s">
        <v>45</v>
      </c>
      <c r="H20" s="11" t="s">
        <v>177</v>
      </c>
      <c r="I20" s="12"/>
      <c r="J20" s="9" t="str">
        <f aca="false">IF(I20="","Not counted yet",IF(I20&gt;=50,"Scaling (50+)",IF(I20&gt;=10,"Testing (10–49)",IF(I20&gt;=1,"Low (1–9)","No live ads"))))</f>
        <v>Not counted yet</v>
      </c>
      <c r="K20" s="13" t="n">
        <v>33.95</v>
      </c>
      <c r="L20" s="9" t="s">
        <v>178</v>
      </c>
      <c r="M20" s="14" t="n">
        <f aca="false">IF(K20="","",K20*INDEX(FX!$B$5:$B$11,MATCH(L20,FX!$A$5:$A$11,0)))</f>
        <v>36.3265</v>
      </c>
      <c r="N20" s="15" t="n">
        <v>60</v>
      </c>
      <c r="O20" s="14" t="n">
        <f aca="false">IFERROR(M20/N20,"")</f>
        <v>0.605441666666667</v>
      </c>
      <c r="P20" s="10" t="s">
        <v>179</v>
      </c>
      <c r="Q20" s="10" t="s">
        <v>180</v>
      </c>
      <c r="R20" s="16" t="s">
        <v>168</v>
      </c>
      <c r="S20" s="17" t="s">
        <v>169</v>
      </c>
      <c r="T20" s="18" t="s">
        <v>52</v>
      </c>
      <c r="U20" s="19"/>
      <c r="V20" s="17" t="s">
        <v>47</v>
      </c>
      <c r="W20" s="20" t="str">
        <f aca="false">IF(U20="","",U20*INDEX(FX!$B$5:$B$11,MATCH(V20,FX!$A$5:$A$11,0)))</f>
        <v/>
      </c>
      <c r="X20" s="21" t="n">
        <v>60</v>
      </c>
      <c r="Y20" s="20" t="str">
        <f aca="false">IFERROR(W20/X20,"")</f>
        <v/>
      </c>
      <c r="Z20" s="22" t="s">
        <v>170</v>
      </c>
      <c r="AA20" s="23" t="s">
        <v>171</v>
      </c>
      <c r="AB20" s="22" t="s">
        <v>181</v>
      </c>
    </row>
    <row r="21" customFormat="false" ht="35.05" hidden="false" customHeight="false" outlineLevel="0" collapsed="false">
      <c r="A21" s="9" t="n">
        <v>19</v>
      </c>
      <c r="B21" s="9" t="s">
        <v>182</v>
      </c>
      <c r="C21" s="9" t="s">
        <v>183</v>
      </c>
      <c r="D21" s="10" t="s">
        <v>184</v>
      </c>
      <c r="E21" s="9" t="s">
        <v>59</v>
      </c>
      <c r="F21" s="9" t="s">
        <v>81</v>
      </c>
      <c r="G21" s="11" t="s">
        <v>45</v>
      </c>
      <c r="H21" s="11" t="s">
        <v>185</v>
      </c>
      <c r="I21" s="12"/>
      <c r="J21" s="9" t="str">
        <f aca="false">IF(I21="","Not counted yet",IF(I21&gt;=50,"Scaling (50+)",IF(I21&gt;=10,"Testing (10–49)",IF(I21&gt;=1,"Low (1–9)","No live ads"))))</f>
        <v>Not counted yet</v>
      </c>
      <c r="K21" s="13" t="n">
        <v>24.99</v>
      </c>
      <c r="L21" s="9" t="s">
        <v>62</v>
      </c>
      <c r="M21" s="14" t="n">
        <f aca="false">IF(K21="","",K21*INDEX(FX!$B$5:$B$11,MATCH(L21,FX!$A$5:$A$11,0)))</f>
        <v>29.2383</v>
      </c>
      <c r="N21" s="15" t="n">
        <v>90</v>
      </c>
      <c r="O21" s="14" t="n">
        <f aca="false">IFERROR(M21/N21,"")</f>
        <v>0.32487</v>
      </c>
      <c r="P21" s="10" t="s">
        <v>186</v>
      </c>
      <c r="Q21" s="10" t="s">
        <v>187</v>
      </c>
      <c r="R21" s="16" t="s">
        <v>188</v>
      </c>
      <c r="S21" s="17" t="s">
        <v>189</v>
      </c>
      <c r="T21" s="18" t="s">
        <v>52</v>
      </c>
      <c r="U21" s="19"/>
      <c r="V21" s="17" t="s">
        <v>53</v>
      </c>
      <c r="W21" s="20" t="str">
        <f aca="false">IF(U21="","",U21*INDEX(FX!$B$5:$B$11,MATCH(V21,FX!$A$5:$A$11,0)))</f>
        <v/>
      </c>
      <c r="X21" s="21"/>
      <c r="Y21" s="20" t="str">
        <f aca="false">IFERROR(W21/X21,"")</f>
        <v/>
      </c>
      <c r="Z21" s="22" t="s">
        <v>190</v>
      </c>
      <c r="AA21" s="23" t="s">
        <v>191</v>
      </c>
      <c r="AB21" s="22" t="s">
        <v>192</v>
      </c>
    </row>
  </sheetData>
  <autoFilter ref="A2:AB21"/>
  <mergeCells count="2">
    <mergeCell ref="A1:Q1"/>
    <mergeCell ref="R1:AB1"/>
  </mergeCells>
  <dataValidations count="1">
    <dataValidation allowBlank="true" errorStyle="stop" operator="greaterThanOrEqual" showDropDown="false" showErrorMessage="false" showInputMessage="false" sqref="I3:I21" type="whole">
      <formula1>0</formula1>
      <formula2>0</formula2>
    </dataValidation>
  </dataValidations>
  <hyperlinks>
    <hyperlink ref="G3" r:id="rId2" display="Open product"/>
    <hyperlink ref="H3" r:id="rId3" display="Meta ads: Bears with Benefits"/>
    <hyperlink ref="T3" r:id="rId4" display="Open competitor"/>
    <hyperlink ref="G4" r:id="rId5" display="Open product"/>
    <hyperlink ref="H4" r:id="rId6" display="Meta ads: Mummy Gummy"/>
    <hyperlink ref="T4" r:id="rId7" display="Open competitor"/>
    <hyperlink ref="G5" r:id="rId8" display="Open product"/>
    <hyperlink ref="H5" r:id="rId9" display="Meta ads: Manhaé"/>
    <hyperlink ref="T5" r:id="rId10" display="Open competitor"/>
    <hyperlink ref="G6" r:id="rId11" display="Open product"/>
    <hyperlink ref="H6" r:id="rId12" display="Meta ads: Mummy Gummy"/>
    <hyperlink ref="T6" r:id="rId13" display="Open competitor"/>
    <hyperlink ref="G7" r:id="rId14" display="Open product"/>
    <hyperlink ref="H7" r:id="rId15" display="Meta ads: fourfive"/>
    <hyperlink ref="T7" r:id="rId16" display="Open competitor"/>
    <hyperlink ref="G8" r:id="rId17" display="Open product"/>
    <hyperlink ref="H8" r:id="rId18" display="Meta ads: Nutrigums"/>
    <hyperlink ref="T8" r:id="rId19" display="Open competitor"/>
    <hyperlink ref="G9" r:id="rId20" display="Open product"/>
    <hyperlink ref="H9" r:id="rId21" display="Meta ads: Starpowa"/>
    <hyperlink ref="T9" r:id="rId22" display="Open competitor"/>
    <hyperlink ref="G10" r:id="rId23" display="Open product"/>
    <hyperlink ref="H10" r:id="rId24" display="Meta ads: New Leaf Products"/>
    <hyperlink ref="T10" r:id="rId25" display="Open competitor"/>
    <hyperlink ref="G11" r:id="rId26" display="Open product"/>
    <hyperlink ref="H11" r:id="rId27" display="Meta ads: Myprotein"/>
    <hyperlink ref="T11" r:id="rId28" display="Open competitor"/>
    <hyperlink ref="G12" r:id="rId29" display="Open product"/>
    <hyperlink ref="H12" r:id="rId30" display="Meta ads: Holland &amp; Barrett"/>
    <hyperlink ref="G13" r:id="rId31" display="Open product"/>
    <hyperlink ref="H13" r:id="rId32" display="Meta ads: Starpowa"/>
    <hyperlink ref="G14" r:id="rId33" display="Open product"/>
    <hyperlink ref="H14" r:id="rId34" display="Meta ads: Granions"/>
    <hyperlink ref="T14" r:id="rId35" display="Open competitor"/>
    <hyperlink ref="G15" r:id="rId36" display="Open product"/>
    <hyperlink ref="H15" r:id="rId37" display="Meta ads: Canitat"/>
    <hyperlink ref="T15" r:id="rId38" display="Open competitor"/>
    <hyperlink ref="G16" r:id="rId39" display="Open product"/>
    <hyperlink ref="H16" r:id="rId40" display="Meta ads: Lemme"/>
    <hyperlink ref="G17" r:id="rId41" display="Open product"/>
    <hyperlink ref="H17" r:id="rId42" display="Meta ads: Plant People WonderHydrate"/>
    <hyperlink ref="G18" r:id="rId43" display="Open product"/>
    <hyperlink ref="H18" r:id="rId44" display="Meta ads: Hydrate Bytes"/>
    <hyperlink ref="G19" r:id="rId45" display="Open product"/>
    <hyperlink ref="H19" r:id="rId46" display="Meta ads: Bears with Benefits"/>
    <hyperlink ref="T19" r:id="rId47" display="Open competitor"/>
    <hyperlink ref="G20" r:id="rId48" display="Open product"/>
    <hyperlink ref="H20" r:id="rId49" display="Meta ads: Lashilé"/>
    <hyperlink ref="T20" r:id="rId50" display="Open competitor"/>
    <hyperlink ref="G21" r:id="rId51" display="Open product"/>
    <hyperlink ref="H21" r:id="rId52" display="Meta ads: Novomins"/>
    <hyperlink ref="T21" r:id="rId53" display="Open competitor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54"/>
  <legacyDrawing r:id="rId55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0"/>
    <col collapsed="false" customWidth="true" hidden="false" outlineLevel="0" max="4" min="3" style="0" width="14"/>
    <col collapsed="false" customWidth="true" hidden="false" outlineLevel="0" max="5" min="5" style="0" width="13"/>
    <col collapsed="false" customWidth="true" hidden="false" outlineLevel="0" max="6" min="6" style="0" width="30"/>
    <col collapsed="false" customWidth="true" hidden="false" outlineLevel="0" max="7" min="7" style="0" width="18"/>
    <col collapsed="false" customWidth="true" hidden="false" outlineLevel="0" max="8" min="8" style="0" width="75"/>
  </cols>
  <sheetData>
    <row r="1" customFormat="false" ht="31.5" hidden="false" customHeight="true" outlineLevel="0" collapsed="false">
      <c r="A1" s="6" t="s">
        <v>19</v>
      </c>
      <c r="B1" s="6" t="s">
        <v>193</v>
      </c>
      <c r="C1" s="6" t="s">
        <v>194</v>
      </c>
      <c r="D1" s="6" t="s">
        <v>195</v>
      </c>
      <c r="E1" s="6" t="s">
        <v>196</v>
      </c>
      <c r="F1" s="6" t="s">
        <v>35</v>
      </c>
      <c r="G1" s="6" t="s">
        <v>38</v>
      </c>
      <c r="H1" s="6" t="s">
        <v>197</v>
      </c>
    </row>
    <row r="2" customFormat="false" ht="23.85" hidden="false" customHeight="false" outlineLevel="0" collapsed="false">
      <c r="A2" s="25" t="s">
        <v>40</v>
      </c>
      <c r="B2" s="25" t="n">
        <f aca="false">COUNTIF(Products!$B$3:$B$21,A2)</f>
        <v>4</v>
      </c>
      <c r="C2" s="26" t="n">
        <f aca="false">IFERROR(AVERAGEIFS(Products!$O$3:$O$21,Products!$B$3:$B$21,A2),"–")</f>
        <v>0.276429166666667</v>
      </c>
      <c r="D2" s="26" t="n">
        <f aca="false">IFERROR(AVERAGEIFS(Products!$Y$3:$Y$21,Products!$B$3:$B$21,A2),"–")</f>
        <v>0.410425</v>
      </c>
      <c r="E2" s="25" t="str">
        <f aca="false">IF(COUNTIFS(Products!$B$3:$B$21,A2,Products!$I$3:$I$21,"&lt;&gt;")=0,"Not counted yet",SUMIFS(Products!$I$3:$I$21,Products!$B$3:$B$21,A2))</f>
        <v>Not counted yet</v>
      </c>
      <c r="F2" s="25" t="s">
        <v>198</v>
      </c>
      <c r="G2" s="27" t="s">
        <v>55</v>
      </c>
      <c r="H2" s="25" t="s">
        <v>199</v>
      </c>
    </row>
    <row r="3" customFormat="false" ht="15" hidden="false" customHeight="false" outlineLevel="0" collapsed="false">
      <c r="A3" s="25" t="s">
        <v>78</v>
      </c>
      <c r="B3" s="25" t="n">
        <f aca="false">COUNTIF(Products!$B$3:$B$21,A3)</f>
        <v>5</v>
      </c>
      <c r="C3" s="26" t="n">
        <f aca="false">IFERROR(AVERAGEIFS(Products!$O$3:$O$21,Products!$B$3:$B$21,A3),"–")</f>
        <v>0.39936</v>
      </c>
      <c r="D3" s="26" t="str">
        <f aca="false">IFERROR(AVERAGEIFS(Products!$Y$3:$Y$21,Products!$B$3:$B$21,A3),"–")</f>
        <v>–</v>
      </c>
      <c r="E3" s="25" t="str">
        <f aca="false">IF(COUNTIFS(Products!$B$3:$B$21,A3,Products!$I$3:$I$21,"&lt;&gt;")=0,"Not counted yet",SUMIFS(Products!$I$3:$I$21,Products!$B$3:$B$21,A3))</f>
        <v>Not counted yet</v>
      </c>
      <c r="F3" s="25" t="s">
        <v>200</v>
      </c>
      <c r="G3" s="27" t="s">
        <v>86</v>
      </c>
      <c r="H3" s="25" t="s">
        <v>201</v>
      </c>
    </row>
    <row r="4" customFormat="false" ht="15" hidden="false" customHeight="false" outlineLevel="0" collapsed="false">
      <c r="A4" s="25" t="s">
        <v>110</v>
      </c>
      <c r="B4" s="25" t="n">
        <f aca="false">COUNTIF(Products!$B$3:$B$21,A4)</f>
        <v>2</v>
      </c>
      <c r="C4" s="26" t="n">
        <f aca="false">IFERROR(AVERAGEIFS(Products!$O$3:$O$21,Products!$B$3:$B$21,A4),"–")</f>
        <v>0.360555</v>
      </c>
      <c r="D4" s="26" t="str">
        <f aca="false">IFERROR(AVERAGEIFS(Products!$Y$3:$Y$21,Products!$B$3:$B$21,A4),"–")</f>
        <v>–</v>
      </c>
      <c r="E4" s="25" t="str">
        <f aca="false">IF(COUNTIFS(Products!$B$3:$B$21,A4,Products!$I$3:$I$21,"&lt;&gt;")=0,"Not counted yet",SUMIFS(Products!$I$3:$I$21,Products!$B$3:$B$21,A4))</f>
        <v>Not counted yet</v>
      </c>
      <c r="F4" s="25" t="s">
        <v>115</v>
      </c>
      <c r="G4" s="27" t="s">
        <v>86</v>
      </c>
      <c r="H4" s="25" t="s">
        <v>202</v>
      </c>
    </row>
    <row r="5" customFormat="false" ht="15" hidden="false" customHeight="false" outlineLevel="0" collapsed="false">
      <c r="A5" s="25" t="s">
        <v>122</v>
      </c>
      <c r="B5" s="25" t="n">
        <f aca="false">COUNTIF(Products!$B$3:$B$21,A5)</f>
        <v>2</v>
      </c>
      <c r="C5" s="26" t="n">
        <f aca="false">IFERROR(AVERAGEIFS(Products!$O$3:$O$21,Products!$B$3:$B$21,A5),"–")</f>
        <v>0.3115</v>
      </c>
      <c r="D5" s="26" t="n">
        <f aca="false">IFERROR(AVERAGEIFS(Products!$Y$3:$Y$21,Products!$B$3:$B$21,A5),"–")</f>
        <v>0.470861666666667</v>
      </c>
      <c r="E5" s="25" t="str">
        <f aca="false">IF(COUNTIFS(Products!$B$3:$B$21,A5,Products!$I$3:$I$21,"&lt;&gt;")=0,"Not counted yet",SUMIFS(Products!$I$3:$I$21,Products!$B$3:$B$21,A5))</f>
        <v>Not counted yet</v>
      </c>
      <c r="F5" s="25" t="s">
        <v>203</v>
      </c>
      <c r="G5" s="27" t="s">
        <v>131</v>
      </c>
      <c r="H5" s="25" t="s">
        <v>204</v>
      </c>
    </row>
    <row r="6" customFormat="false" ht="15" hidden="false" customHeight="false" outlineLevel="0" collapsed="false">
      <c r="A6" s="25" t="s">
        <v>139</v>
      </c>
      <c r="B6" s="25" t="n">
        <f aca="false">COUNTIF(Products!$B$3:$B$21,A6)</f>
        <v>1</v>
      </c>
      <c r="C6" s="26" t="str">
        <f aca="false">IFERROR(AVERAGEIFS(Products!$O$3:$O$21,Products!$B$3:$B$21,A6),"–")</f>
        <v>–</v>
      </c>
      <c r="D6" s="26" t="str">
        <f aca="false">IFERROR(AVERAGEIFS(Products!$Y$3:$Y$21,Products!$B$3:$B$21,A6),"–")</f>
        <v>–</v>
      </c>
      <c r="E6" s="25" t="str">
        <f aca="false">IF(COUNTIFS(Products!$B$3:$B$21,A6,Products!$I$3:$I$21,"&lt;&gt;")=0,"Not counted yet",SUMIFS(Products!$I$3:$I$21,Products!$B$3:$B$21,A6))</f>
        <v>Not counted yet</v>
      </c>
      <c r="F6" s="25" t="s">
        <v>115</v>
      </c>
      <c r="G6" s="27" t="s">
        <v>147</v>
      </c>
      <c r="H6" s="25" t="s">
        <v>205</v>
      </c>
    </row>
    <row r="7" customFormat="false" ht="15" hidden="false" customHeight="false" outlineLevel="0" collapsed="false">
      <c r="A7" s="25" t="s">
        <v>149</v>
      </c>
      <c r="B7" s="25" t="n">
        <f aca="false">COUNTIF(Products!$B$3:$B$21,A7)</f>
        <v>2</v>
      </c>
      <c r="C7" s="26" t="n">
        <f aca="false">IFERROR(AVERAGEIFS(Products!$O$3:$O$21,Products!$B$3:$B$21,A7),"–")</f>
        <v>0.682778571428572</v>
      </c>
      <c r="D7" s="26" t="str">
        <f aca="false">IFERROR(AVERAGEIFS(Products!$Y$3:$Y$21,Products!$B$3:$B$21,A7),"–")</f>
        <v>–</v>
      </c>
      <c r="E7" s="25" t="str">
        <f aca="false">IF(COUNTIFS(Products!$B$3:$B$21,A7,Products!$I$3:$I$21,"&lt;&gt;")=0,"Not counted yet",SUMIFS(Products!$I$3:$I$21,Products!$B$3:$B$21,A7))</f>
        <v>Not counted yet</v>
      </c>
      <c r="F7" s="25" t="s">
        <v>115</v>
      </c>
      <c r="G7" s="27" t="s">
        <v>147</v>
      </c>
      <c r="H7" s="25" t="s">
        <v>206</v>
      </c>
    </row>
    <row r="8" customFormat="false" ht="15" hidden="false" customHeight="false" outlineLevel="0" collapsed="false">
      <c r="A8" s="25" t="s">
        <v>163</v>
      </c>
      <c r="B8" s="25" t="n">
        <f aca="false">COUNTIF(Products!$B$3:$B$21,A8)</f>
        <v>2</v>
      </c>
      <c r="C8" s="26" t="n">
        <f aca="false">IFERROR(AVERAGEIFS(Products!$O$3:$O$21,Products!$B$3:$B$21,A8),"–")</f>
        <v>0.468276388888889</v>
      </c>
      <c r="D8" s="26" t="str">
        <f aca="false">IFERROR(AVERAGEIFS(Products!$Y$3:$Y$21,Products!$B$3:$B$21,A8),"–")</f>
        <v>–</v>
      </c>
      <c r="E8" s="25" t="str">
        <f aca="false">IF(COUNTIFS(Products!$B$3:$B$21,A8,Products!$I$3:$I$21,"&lt;&gt;")=0,"Not counted yet",SUMIFS(Products!$I$3:$I$21,Products!$B$3:$B$21,A8))</f>
        <v>Not counted yet</v>
      </c>
      <c r="F8" s="25" t="s">
        <v>207</v>
      </c>
      <c r="G8" s="27" t="s">
        <v>171</v>
      </c>
      <c r="H8" s="25" t="s">
        <v>208</v>
      </c>
    </row>
    <row r="9" customFormat="false" ht="15" hidden="false" customHeight="false" outlineLevel="0" collapsed="false">
      <c r="A9" s="25" t="s">
        <v>182</v>
      </c>
      <c r="B9" s="25" t="n">
        <f aca="false">COUNTIF(Products!$B$3:$B$21,A9)</f>
        <v>1</v>
      </c>
      <c r="C9" s="26" t="n">
        <f aca="false">IFERROR(AVERAGEIFS(Products!$O$3:$O$21,Products!$B$3:$B$21,A9),"–")</f>
        <v>0.32487</v>
      </c>
      <c r="D9" s="26" t="str">
        <f aca="false">IFERROR(AVERAGEIFS(Products!$Y$3:$Y$21,Products!$B$3:$B$21,A9),"–")</f>
        <v>–</v>
      </c>
      <c r="E9" s="25" t="str">
        <f aca="false">IF(COUNTIFS(Products!$B$3:$B$21,A9,Products!$I$3:$I$21,"&lt;&gt;")=0,"Not counted yet",SUMIFS(Products!$I$3:$I$21,Products!$B$3:$B$21,A9))</f>
        <v>Not counted yet</v>
      </c>
      <c r="F9" s="25" t="s">
        <v>209</v>
      </c>
      <c r="G9" s="27" t="s">
        <v>191</v>
      </c>
      <c r="H9" s="25" t="s">
        <v>210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</cols>
  <sheetData>
    <row r="1" customFormat="false" ht="15" hidden="false" customHeight="false" outlineLevel="0" collapsed="false">
      <c r="A1" s="28" t="s">
        <v>211</v>
      </c>
    </row>
    <row r="2" customFormat="false" ht="15" hidden="false" customHeight="false" outlineLevel="0" collapsed="false">
      <c r="A2" s="29" t="s">
        <v>212</v>
      </c>
    </row>
    <row r="4" customFormat="false" ht="15" hidden="false" customHeight="false" outlineLevel="0" collapsed="false">
      <c r="A4" s="30" t="s">
        <v>29</v>
      </c>
      <c r="B4" s="30" t="s">
        <v>213</v>
      </c>
    </row>
    <row r="5" customFormat="false" ht="15" hidden="false" customHeight="false" outlineLevel="0" collapsed="false">
      <c r="A5" s="31" t="s">
        <v>47</v>
      </c>
      <c r="B5" s="32" t="n">
        <v>1</v>
      </c>
    </row>
    <row r="6" customFormat="false" ht="15" hidden="false" customHeight="false" outlineLevel="0" collapsed="false">
      <c r="A6" s="31" t="s">
        <v>62</v>
      </c>
      <c r="B6" s="32" t="n">
        <v>1.17</v>
      </c>
    </row>
    <row r="7" customFormat="false" ht="15" hidden="false" customHeight="false" outlineLevel="0" collapsed="false">
      <c r="A7" s="31" t="s">
        <v>178</v>
      </c>
      <c r="B7" s="32" t="n">
        <v>1.07</v>
      </c>
    </row>
    <row r="8" customFormat="false" ht="15" hidden="false" customHeight="false" outlineLevel="0" collapsed="false">
      <c r="A8" s="31" t="s">
        <v>214</v>
      </c>
      <c r="B8" s="32" t="n">
        <v>0.92</v>
      </c>
    </row>
    <row r="9" customFormat="false" ht="15" hidden="false" customHeight="false" outlineLevel="0" collapsed="false">
      <c r="A9" s="31" t="s">
        <v>53</v>
      </c>
      <c r="B9" s="32" t="n">
        <v>0.235</v>
      </c>
    </row>
    <row r="10" customFormat="false" ht="15" hidden="false" customHeight="false" outlineLevel="0" collapsed="false">
      <c r="A10" s="31" t="s">
        <v>74</v>
      </c>
      <c r="B10" s="32" t="n">
        <v>0.2</v>
      </c>
    </row>
    <row r="11" customFormat="false" ht="15" hidden="false" customHeight="false" outlineLevel="0" collapsed="false">
      <c r="A11" s="31" t="s">
        <v>215</v>
      </c>
      <c r="B11" s="32" t="n">
        <v>0.04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2026-10-04T11:56:00Z</dcterms:created>
  <dc:creator>openpyxl</dc:creator>
  <dc:description/>
  <dc:language>en-US</dc:language>
  <cp:lastModifiedBy/>
  <dcterms:modified xsi:type="dcterms:W3CDTF">2026-10-04T11:56:00Z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
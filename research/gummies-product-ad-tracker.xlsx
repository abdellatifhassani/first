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Products" sheetId="2" state="visible" r:id="rId4"/>
    <sheet name="Opportunity Summary" sheetId="3" state="visible" r:id="rId5"/>
    <sheet name="FX" sheetId="4" state="visible" r:id="rId6"/>
  </sheets>
  <definedNames>
    <definedName function="false" hidden="true" localSheetId="1" name="_xlnm._FilterDatabase" vbProcedure="false">Products!$A$1:$V$30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Converted with the rates on the FX sheet (approximate; edit there).</t>
        </r>
      </text>
    </comment>
    <comment ref="R2" authorId="0">
      <text>
        <r>
          <rPr>
            <sz val="10"/>
            <rFont val="Arial"/>
            <family val="2"/>
          </rPr>
          <t xml:space="preserve">Couldn't be counted automatically: Meta Ad Library is blocked from this research session. Click the link in column I, read the '~X results' figure, and type it here. Column S updates automatically.</t>
        </r>
      </text>
    </comment>
  </commentList>
</comments>
</file>

<file path=xl/sharedStrings.xml><?xml version="1.0" encoding="utf-8"?>
<sst xmlns="http://schemas.openxmlformats.org/spreadsheetml/2006/main" count="429" uniqueCount="297">
  <si>
    <t xml:space="preserve">How to use this file</t>
  </si>
  <si>
    <t xml:space="preserve">Colour legend</t>
  </si>
  <si>
    <t xml:space="preserve">Yellow cells = fill these in (live ad counts, FX rates).</t>
  </si>
  <si>
    <t xml:space="preserve">Blue text = hard-coded inputs taken from retailer listings (prices, pack sizes, daily dose).</t>
  </si>
  <si>
    <t xml:space="preserve">Black text = formulas; don't overwrite.</t>
  </si>
  <si>
    <t xml:space="preserve">Market role colours: green = proven seller in Western Europe · red = competitor already in your 9 countries · blue = US/TikTok trend reference.</t>
  </si>
  <si>
    <t xml:space="preserve">Counting live ads (column R on Products)</t>
  </si>
  <si>
    <t xml:space="preserve">1. Click the 'Meta ads: …' link in column I. It opens Meta Ad Library filtered to ACTIVE ads for that brand, all countries.</t>
  </si>
  <si>
    <t xml:space="preserve">2. Read the '~X results' number at the top and type it into column R. Column S labels it automatically (50+ = scaling).</t>
  </si>
  <si>
    <t xml:space="preserve">3. To see whether a brand already advertises in your markets, change the country filter to Poland, Romania, Greece, etc.</t>
  </si>
  <si>
    <t xml:space="preserve">4. Tip: in each brand's ads, look at 'Started running on' dates. Ads running 30+ days are usually profitable.</t>
  </si>
  <si>
    <t xml:space="preserve">Example: if Meta shows '~120 results' for Bears with Benefits, enter 120 in R2 and S2 shows 'Scaling (50+ ads)'.</t>
  </si>
  <si>
    <t xml:space="preserve">Limitations</t>
  </si>
  <si>
    <t xml:space="preserve">Prices were collected on 4 Oct 2026 from retailer listings found through web search. Promotions change often, so re-check before deciding.</t>
  </si>
  <si>
    <t xml:space="preserve">Live ad counts couldn't be collected automatically: Meta Ad Library and several retailers were blocked from the research session.</t>
  </si>
  <si>
    <t xml:space="preserve">Blank prices = the price wasn't visible in search results; open the product link to check.</t>
  </si>
  <si>
    <t xml:space="preserve">EUR conversions use the approximate rates on the FX sheet.</t>
  </si>
  <si>
    <t xml:space="preserve">#</t>
  </si>
  <si>
    <t xml:space="preserve">Category</t>
  </si>
  <si>
    <t xml:space="preserve">Market role</t>
  </si>
  <si>
    <t xml:space="preserve">Brand</t>
  </si>
  <si>
    <t xml:space="preserve">Product</t>
  </si>
  <si>
    <t xml:space="preserve">Market</t>
  </si>
  <si>
    <t xml:space="preserve">Retailer</t>
  </si>
  <si>
    <t xml:space="preserve">Product link</t>
  </si>
  <si>
    <t xml:space="preserve">Meta Ad Library link</t>
  </si>
  <si>
    <t xml:space="preserve">Selling price (local)</t>
  </si>
  <si>
    <t xml:space="preserve">Currency</t>
  </si>
  <si>
    <t xml:space="preserve">Price (EUR)</t>
  </si>
  <si>
    <t xml:space="preserve">Pack size (gummies)</t>
  </si>
  <si>
    <t xml:space="preserve">Gummies / day</t>
  </si>
  <si>
    <t xml:space="preserve">Days of supply</t>
  </si>
  <si>
    <t xml:space="preserve">Price per gummy (EUR)</t>
  </si>
  <si>
    <t xml:space="preserve">Cost per day (EUR)</t>
  </si>
  <si>
    <t xml:space="preserve">Live Meta ads (count)</t>
  </si>
  <si>
    <t xml:space="preserve">Ads signal</t>
  </si>
  <si>
    <t xml:space="preserve">Key ingredients / dose</t>
  </si>
  <si>
    <t xml:space="preserve">Owner / parent company</t>
  </si>
  <si>
    <t xml:space="preserve">Notes &amp; sales signals</t>
  </si>
  <si>
    <t xml:space="preserve">Women's hormone</t>
  </si>
  <si>
    <t xml:space="preserve">West – proof</t>
  </si>
  <si>
    <t xml:space="preserve">Bears with Benefits</t>
  </si>
  <si>
    <t xml:space="preserve">Femtastic PMS Vitamins (60 bears)</t>
  </si>
  <si>
    <t xml:space="preserve">DE</t>
  </si>
  <si>
    <t xml:space="preserve">Vitalabo</t>
  </si>
  <si>
    <t xml:space="preserve">https://www.vitalabo.com/bears-with-benefits/femtastic-pms-vitamins</t>
  </si>
  <si>
    <t xml:space="preserve">Meta ads: Bears with Benefits</t>
  </si>
  <si>
    <t xml:space="preserve">EUR</t>
  </si>
  <si>
    <t xml:space="preserve">Vitamin B6, chasteberry, lemon balm, dong quai</t>
  </si>
  <si>
    <t xml:space="preserve">Havea Group (FR)</t>
  </si>
  <si>
    <t xml:space="preserve">Europe's gummy market leader within 4 years of its 2018 founding. Sold in DE/AT/CH/IT/FR/ES/NL/UK; none of the 9 target countries. Out of stock at Vitalabo, so no price shown. FR version: 'Femmtastique SPM' (90 units).</t>
  </si>
  <si>
    <t xml:space="preserve">Manhaé (Vitavea)</t>
  </si>
  <si>
    <t xml:space="preserve">Ménopause Gummies</t>
  </si>
  <si>
    <t xml:space="preserve">FR</t>
  </si>
  <si>
    <t xml:space="preserve">Redcare Pharmacie</t>
  </si>
  <si>
    <t xml:space="preserve">https://www.redcare-pharmacie.fr/hygiene-et-sante/F00421412/manhae-menopause-gummies.htm</t>
  </si>
  <si>
    <t xml:space="preserve">Meta ads: Manhaé</t>
  </si>
  <si>
    <t xml:space="preserve">Pollen extract, vitamin E, vitamin B2 (hormone-free)</t>
  </si>
  <si>
    <t xml:space="preserve">Same owner as Bears with Benefits. Other FR prices: €19.90 (lasante.net), €16.99 (pharmashopdiscount).</t>
  </si>
  <si>
    <t xml:space="preserve">CEE – competitor</t>
  </si>
  <si>
    <t xml:space="preserve">Menopause Gummies, 60 jeleuri</t>
  </si>
  <si>
    <t xml:space="preserve">RO</t>
  </si>
  <si>
    <t xml:space="preserve">Dr.Max RO</t>
  </si>
  <si>
    <t xml:space="preserve">https://www.drmax.ro/menopause-gummies-manhae-60-jeleuri-vitavea</t>
  </si>
  <si>
    <t xml:space="preserve">RON</t>
  </si>
  <si>
    <t xml:space="preserve">Pollen extract, vitamin E, vitamin B2</t>
  </si>
  <si>
    <t xml:space="preserve">The only menopause gummy found in Romania. Single imported SKU, no local brand.</t>
  </si>
  <si>
    <t xml:space="preserve">Mummy Gummy</t>
  </si>
  <si>
    <t xml:space="preserve">Menopause, 60 gummies</t>
  </si>
  <si>
    <t xml:space="preserve">UK</t>
  </si>
  <si>
    <t xml:space="preserve">ecco-verde UK</t>
  </si>
  <si>
    <t xml:space="preserve">https://www.ecco-verde.co.uk/mummy-gummy/menopause-2</t>
  </si>
  <si>
    <t xml:space="preserve">Meta ads: Mummy Gummy</t>
  </si>
  <si>
    <t xml:space="preserve">GBP</t>
  </si>
  <si>
    <t xml:space="preserve">Angelica, chasteberry, lemon balm, vitamin B6</t>
  </si>
  <si>
    <t xml:space="preserve">Independent</t>
  </si>
  <si>
    <t xml:space="preserve">Also £11.40 on another listing. Sister SKU: Mummy Gummy PMS.</t>
  </si>
  <si>
    <t xml:space="preserve">PMS, 60 gummies</t>
  </si>
  <si>
    <t xml:space="preserve">https://ecco-verde.co.uk/mummy-gummy/pms-2</t>
  </si>
  <si>
    <t xml:space="preserve">PMS blend</t>
  </si>
  <si>
    <t xml:space="preserve">Price not captured in search results; check the link.</t>
  </si>
  <si>
    <t xml:space="preserve">ZOE Wellness</t>
  </si>
  <si>
    <t xml:space="preserve">PMS-B6 (CAPSULES, not gummy)</t>
  </si>
  <si>
    <t xml:space="preserve">PL</t>
  </si>
  <si>
    <t xml:space="preserve">Notino PL</t>
  </si>
  <si>
    <t xml:space="preserve">https://www.notino.pl/zoe/pms-b6-kapsulki-do-wsparcia-rownowagi-hormonalnej/</t>
  </si>
  <si>
    <t xml:space="preserve">Meta ads: ZOE PMS-B6</t>
  </si>
  <si>
    <t xml:space="preserve">PLN</t>
  </si>
  <si>
    <t xml:space="preserve">Vitamin B6, plant extracts, D3, B1–B3, Ca, Mg, Fe, Cu, Zn</t>
  </si>
  <si>
    <t xml:space="preserve">Shows Polish women already pay ~€28 for PMS support, but only in capsules. No PMS gummy found in PL. Pack size taken from the DE listing (60 caps).</t>
  </si>
  <si>
    <t xml:space="preserve">Lion's mane</t>
  </si>
  <si>
    <t xml:space="preserve">fourfive</t>
  </si>
  <si>
    <t xml:space="preserve">Focus &amp; Energy Lion's Mane 4000mg</t>
  </si>
  <si>
    <t xml:space="preserve">Holland &amp; Barrett</t>
  </si>
  <si>
    <t xml:space="preserve">https://www.hollandandbarrett.com/shop/product/fourfive-focus-energy-lion-s-mane-4000mg-60-gummies-6100003656</t>
  </si>
  <si>
    <t xml:space="preserve">Meta ads: fourfive</t>
  </si>
  <si>
    <t xml:space="preserve">Lion's mane 4000mg equivalent</t>
  </si>
  <si>
    <t xml:space="preserve">Independent (UK)</t>
  </si>
  <si>
    <t xml:space="preserve">IE site: £21.10 (was £31.50).</t>
  </si>
  <si>
    <t xml:space="preserve">Nutrigums</t>
  </si>
  <si>
    <t xml:space="preserve">Lion's Mane Complex</t>
  </si>
  <si>
    <t xml:space="preserve">https://www.hollandandbarrett.com/shop/product/nutrigums-lion-s-mane-complex-60-gummies-6100017092</t>
  </si>
  <si>
    <t xml:space="preserve">Meta ads: Nutrigums</t>
  </si>
  <si>
    <t xml:space="preserve">Lion's mane complex, vegan</t>
  </si>
  <si>
    <t xml:space="preserve">Starpowa</t>
  </si>
  <si>
    <t xml:space="preserve">Lion's Mane 500mg</t>
  </si>
  <si>
    <t xml:space="preserve">https://hollandandbarrett.com/shop/product/starpowa-lion-s-mane-500mg-60-gummies-6100001690</t>
  </si>
  <si>
    <t xml:space="preserve">Meta ads: Starpowa</t>
  </si>
  <si>
    <t xml:space="preserve">Lion's mane 500mg</t>
  </si>
  <si>
    <t xml:space="preserve">Price not captured; check the link. Starpowa also makes sea moss gummies.</t>
  </si>
  <si>
    <t xml:space="preserve">New Leaf</t>
  </si>
  <si>
    <t xml:space="preserve">Lions Mane Gummies + Vit C &amp; B5</t>
  </si>
  <si>
    <t xml:space="preserve">Superdrug</t>
  </si>
  <si>
    <t xml:space="preserve">https://www.superdrug.com/health/vitamins-supplements/multi-vitamins/new-leaf-lions-mane-gummies-with-vitamin-c-b5-60-fill/p/mp-00471066</t>
  </si>
  <si>
    <t xml:space="preserve">Meta ads: New Leaf Products</t>
  </si>
  <si>
    <t xml:space="preserve">Lion's mane, vitamin C, B5</t>
  </si>
  <si>
    <t xml:space="preserve">Made in the UK. Superdrug runs a 3-for-20%-off promo.</t>
  </si>
  <si>
    <t xml:space="preserve">Myvitamins (Myprotein)</t>
  </si>
  <si>
    <t xml:space="preserve">Lion's Mane Gummies (mushroom)</t>
  </si>
  <si>
    <t xml:space="preserve">UK / EU</t>
  </si>
  <si>
    <t xml:space="preserve">Myprotein IE</t>
  </si>
  <si>
    <t xml:space="preserve">https://myprotein.ie/p/sports-nutrition/mushroom-gummies-lion-s-mane-reishi/15726883</t>
  </si>
  <si>
    <t xml:space="preserve">Meta ads: Myprotein</t>
  </si>
  <si>
    <t xml:space="preserve">Lion's mane extract 500mg + zinc</t>
  </si>
  <si>
    <t xml:space="preserve">THG (UK)</t>
  </si>
  <si>
    <t xml:space="preserve">RRP. Myprotein ships across the EU, so it could compete cross-border in CEE. Not confirmed on myprotein.pl/.cz/.ro.</t>
  </si>
  <si>
    <t xml:space="preserve">Kompava</t>
  </si>
  <si>
    <t xml:space="preserve">Memo Gummies 180mg</t>
  </si>
  <si>
    <t xml:space="preserve">CZ / SK</t>
  </si>
  <si>
    <t xml:space="preserve">Dr.Max CZ</t>
  </si>
  <si>
    <t xml:space="preserve">https://www.drmax.cz/kompava-memo-gummies-180-mg-60-cukrikov</t>
  </si>
  <si>
    <t xml:space="preserve">Meta ads: Kompava</t>
  </si>
  <si>
    <t xml:space="preserve">Lion's mane extract (≈2,000mg dried), B vitamins, vitamin C, sugar-free</t>
  </si>
  <si>
    <t xml:space="preserve">Kompava (SK)</t>
  </si>
  <si>
    <t xml:space="preserve">The only lion's mane gummy found in your 9 countries. A reseller lists it at 20.99, currency unclear, so it was left blank.</t>
  </si>
  <si>
    <t xml:space="preserve">Sea moss</t>
  </si>
  <si>
    <t xml:space="preserve">Sea Moss Apple 1000mg</t>
  </si>
  <si>
    <t xml:space="preserve">https://www.hollandandbarrett.com/shop/product/holland-barrett-sea-moss-apple-flavour-1000mg-60-gummies-6100022478</t>
  </si>
  <si>
    <t xml:space="preserve">Meta ads: Holland &amp; Barrett</t>
  </si>
  <si>
    <t xml:space="preserve">Sea moss 1000mg</t>
  </si>
  <si>
    <t xml:space="preserve">Holland &amp; Barrett (own label)</t>
  </si>
  <si>
    <t xml:space="preserve">H&amp;B named sea moss its best-selling product of the year. Buy-1-get-1-free offer.</t>
  </si>
  <si>
    <t xml:space="preserve">Cleanse Sea Moss 1000mg</t>
  </si>
  <si>
    <t xml:space="preserve">IE</t>
  </si>
  <si>
    <t xml:space="preserve">Holland &amp; Barrett IE</t>
  </si>
  <si>
    <t xml:space="preserve">https://www.hollandandbarrett.ie/shop/product/starpowa-sea-moss-1000mg-60-gummies-6100001689</t>
  </si>
  <si>
    <t xml:space="preserve">Sea moss 1000mg, vegan</t>
  </si>
  <si>
    <t xml:space="preserve">Sale price; RRP £39.99. Rated 3.8★.</t>
  </si>
  <si>
    <t xml:space="preserve">Shilajit</t>
  </si>
  <si>
    <t xml:space="preserve">Granions</t>
  </si>
  <si>
    <t xml:space="preserve">Shilajit Gummies 800mg</t>
  </si>
  <si>
    <t xml:space="preserve">https://www.redcare-pharmacie.fr/hygiene-et-sante/F00572690/granions-shilajit.htm</t>
  </si>
  <si>
    <t xml:space="preserve">Meta ads: Granions</t>
  </si>
  <si>
    <t xml:space="preserve">Shilajit 800mg (50% fulvic), ashwagandha, zinc, B6, B12</t>
  </si>
  <si>
    <t xml:space="preserve">Laboratoire des Granions (FR)</t>
  </si>
  <si>
    <t xml:space="preserve">Contains ashwagandha, which is restricted in some EU states. 2×60 €36.69, 3×60 €52.29.</t>
  </si>
  <si>
    <t xml:space="preserve">Canitat</t>
  </si>
  <si>
    <t xml:space="preserve">Shilajit &amp; Ashwagandha Gummies</t>
  </si>
  <si>
    <t xml:space="preserve">DocMorris</t>
  </si>
  <si>
    <t xml:space="preserve">https://www.docmorris.de/shilajit-ashwagandha-gummies-von-canitat-m/FPCPZ9TM</t>
  </si>
  <si>
    <t xml:space="preserve">Meta ads: Canitat</t>
  </si>
  <si>
    <t xml:space="preserve">Shilajit 1000mg + ashwagandha 500mg per 2 gummies, sugar-free</t>
  </si>
  <si>
    <t xml:space="preserve">Independent (DE)</t>
  </si>
  <si>
    <t xml:space="preserve">Price not captured; check the link.</t>
  </si>
  <si>
    <t xml:space="preserve">Unbranded / marketplace</t>
  </si>
  <si>
    <t xml:space="preserve">Shilajit Gummies High Dose (Himalaya)</t>
  </si>
  <si>
    <t xml:space="preserve">PL / CZ</t>
  </si>
  <si>
    <t xml:space="preserve">Kaufland.pl marketplace</t>
  </si>
  <si>
    <t xml:space="preserve">https://www.kaufland.pl/product/539162050/</t>
  </si>
  <si>
    <t xml:space="preserve">Meta ads: shilajit gummies</t>
  </si>
  <si>
    <t xml:space="preserve">Shilajit 1600mg/day, Tibetan berries, vegan, sugar-free</t>
  </si>
  <si>
    <t xml:space="preserve">Marketplace seller (made in DE)</t>
  </si>
  <si>
    <t xml:space="preserve">List price 204.98 zł, promos 84.76–120.22 zł. Also listed on kaufland.cz. Weak brand.</t>
  </si>
  <si>
    <t xml:space="preserve">GNC / BetterAlt</t>
  </si>
  <si>
    <t xml:space="preserve">Pure Himalayan Shilajit Gummies</t>
  </si>
  <si>
    <t xml:space="preserve">https://www.drmax.ro/jeleuri-de-shilajit-din-himalaya-pure-himalayan-shilajit-gummies-betteralt-60-jeleuri-gnc</t>
  </si>
  <si>
    <t xml:space="preserve">Meta ads: BetterAlt</t>
  </si>
  <si>
    <t xml:space="preserve">Himalayan shilajit</t>
  </si>
  <si>
    <t xml:space="preserve">GNC (US import)</t>
  </si>
  <si>
    <t xml:space="preserve">Very expensive import, which leaves room for an affordable local brand.</t>
  </si>
  <si>
    <t xml:space="preserve">Global trend (US)</t>
  </si>
  <si>
    <t xml:space="preserve">Clean Nutra</t>
  </si>
  <si>
    <t xml:space="preserve">Shilajit + Sea Moss + Ashwagandha + Lion's Mane</t>
  </si>
  <si>
    <t xml:space="preserve">US</t>
  </si>
  <si>
    <t xml:space="preserve">TikTok Shop</t>
  </si>
  <si>
    <t xml:space="preserve">https://shop.tiktok.com/us/pdp/shilajit-gummies-with-sea-moss-ashwagandha-lion-s-mane/1731898657011568794</t>
  </si>
  <si>
    <t xml:space="preserve">Meta ads: Clean Nutra</t>
  </si>
  <si>
    <t xml:space="preserve">USD</t>
  </si>
  <si>
    <t xml:space="preserve">Shilajit, sea moss, ashwagandha, lion's mane</t>
  </si>
  <si>
    <t xml:space="preserve">Independent (US)</t>
  </si>
  <si>
    <t xml:space="preserve">1.6M units sold on TikTok Shop (seller page). Shows the scale the trend can reach.</t>
  </si>
  <si>
    <t xml:space="preserve">Inner Brightness</t>
  </si>
  <si>
    <t xml:space="preserve">Himalayan Shilajit Gummies 600mg</t>
  </si>
  <si>
    <t xml:space="preserve">https://www.tiktokshop.com/pdp/himalayan-shilajit-gummies-by-inner-brightness-600mg-vegan-gluten-free-energy-booster/1731134527223337593</t>
  </si>
  <si>
    <t xml:space="preserve">Meta ads: Inner Brightness</t>
  </si>
  <si>
    <t xml:space="preserve">Shilajit 600mg, vegan</t>
  </si>
  <si>
    <t xml:space="preserve">10% off from $19.99. Price benchmark for the US TikTok market.</t>
  </si>
  <si>
    <t xml:space="preserve">Colostrum</t>
  </si>
  <si>
    <t xml:space="preserve">Lemme</t>
  </si>
  <si>
    <t xml:space="preserve">Colostrum Gummies</t>
  </si>
  <si>
    <t xml:space="preserve">UK (import)</t>
  </si>
  <si>
    <t xml:space="preserve">GlamGlobal UK</t>
  </si>
  <si>
    <t xml:space="preserve">https://glamglobal.co.uk/products/lemme-colostrum-gummies-60-gummies-gut-health-digestion-immunity-support-with-vitamin-d3</t>
  </si>
  <si>
    <t xml:space="preserve">Meta ads: Lemme</t>
  </si>
  <si>
    <t xml:space="preserve">Colostrum isolate + vitamin D3</t>
  </si>
  <si>
    <t xml:space="preserve">Lemme (US, Kourtney Kardashian)</t>
  </si>
  <si>
    <t xml:space="preserve">Early trend: US brand reaching the UK through importers. Price not captured.</t>
  </si>
  <si>
    <t xml:space="preserve">Electrolyte</t>
  </si>
  <si>
    <t xml:space="preserve">Plant People</t>
  </si>
  <si>
    <t xml:space="preserve">WonderHydrate Electrolyte Gummies</t>
  </si>
  <si>
    <t xml:space="preserve">Live in the Light</t>
  </si>
  <si>
    <t xml:space="preserve">https://liveinthelight.co.uk/products/wonderhydrate-electrolyte-gummies</t>
  </si>
  <si>
    <t xml:space="preserve">Meta ads: Plant People WonderHydrate</t>
  </si>
  <si>
    <t xml:space="preserve">Electrolytes, zero sugar, lychee</t>
  </si>
  <si>
    <t xml:space="preserve">Plant People (US)</t>
  </si>
  <si>
    <t xml:space="preserve">42 gummies = 21-day supply. $29.99 in the US.</t>
  </si>
  <si>
    <t xml:space="preserve">The Bytes Company</t>
  </si>
  <si>
    <t xml:space="preserve">Hydrate Bytes (watermelon-kiwi)</t>
  </si>
  <si>
    <t xml:space="preserve">John Bell &amp; Croyden</t>
  </si>
  <si>
    <t xml:space="preserve">https://johnbellcroyden.co.uk/products/the-bytes-company-hydrate-bytes-60-watermelon-kiwi-gummies</t>
  </si>
  <si>
    <t xml:space="preserve">Meta ads: Hydrate Bytes</t>
  </si>
  <si>
    <t xml:space="preserve">Vitamin C, magnesium, potassium, salt, vegan</t>
  </si>
  <si>
    <t xml:space="preserve">Independent (made in DE)</t>
  </si>
  <si>
    <t xml:space="preserve">Beauty / hair</t>
  </si>
  <si>
    <t xml:space="preserve">Ah-mazing Hair Vitamin (biotin, sugar-free)</t>
  </si>
  <si>
    <t xml:space="preserve">AT</t>
  </si>
  <si>
    <t xml:space="preserve">dm Austria</t>
  </si>
  <si>
    <t xml:space="preserve">https://www.dm.at/p/d/1580777/bears-with-benefits-ah-mazing-hair-vitamin-biotin-gummibaerchen</t>
  </si>
  <si>
    <t xml:space="preserve">Biotin, zinc, sugar-free</t>
  </si>
  <si>
    <t xml:space="preserve">60-bear version €24.99 at Vitalabo. Benchmark for a femhealth brand's hair SKU.</t>
  </si>
  <si>
    <t xml:space="preserve">Lashilé Beauty</t>
  </si>
  <si>
    <t xml:space="preserve">Good Hair (sugar-free)</t>
  </si>
  <si>
    <t xml:space="preserve">CH</t>
  </si>
  <si>
    <t xml:space="preserve">Manor</t>
  </si>
  <si>
    <t xml:space="preserve">https://www.manor.ch/fr/p/10002546616</t>
  </si>
  <si>
    <t xml:space="preserve">Meta ads: Lashilé</t>
  </si>
  <si>
    <t xml:space="preserve">CHF</t>
  </si>
  <si>
    <t xml:space="preserve">Biotin, zinc, B6, horsetail, bilberry leaf</t>
  </si>
  <si>
    <t xml:space="preserve">Cooper Consumer Health (FR)</t>
  </si>
  <si>
    <t xml:space="preserve">#3 in French gummies (7.9% share). Around €18.27 discounted in FR. No CEE presence found.</t>
  </si>
  <si>
    <t xml:space="preserve">Creatine (crowded)</t>
  </si>
  <si>
    <t xml:space="preserve">Novomins</t>
  </si>
  <si>
    <t xml:space="preserve">Creatine 5000mg Strawberry, sugar-free</t>
  </si>
  <si>
    <t xml:space="preserve">https://www.hollandandbarrett.com/shop/product/strawberry-flavoured-creatine-gummies-food-supplement-with-sugar-ansd-sweetener-90-6100007176</t>
  </si>
  <si>
    <t xml:space="preserve">Meta ads: Novomins</t>
  </si>
  <si>
    <t xml:space="preserve">Creatine monohydrate 5g/day</t>
  </si>
  <si>
    <t xml:space="preserve">Novomins (UK)</t>
  </si>
  <si>
    <t xml:space="preserve">€26.95 in Ireland. Category is already crowded in CEE; listed as a benchmark only.</t>
  </si>
  <si>
    <t xml:space="preserve">GymBeam</t>
  </si>
  <si>
    <t xml:space="preserve">Creatine Yummies</t>
  </si>
  <si>
    <t xml:space="preserve">PL (+ all 9)</t>
  </si>
  <si>
    <t xml:space="preserve">https://www.notino.pl/gymbeam/creatine-yummies-zelki-wsparcie-wydolnosci-treningowej/</t>
  </si>
  <si>
    <t xml:space="preserve">Meta ads: GymBeam</t>
  </si>
  <si>
    <t xml:space="preserve">Creatine monohydrate 3g/serving</t>
  </si>
  <si>
    <t xml:space="preserve">GymBeam (SK)</t>
  </si>
  <si>
    <t xml:space="preserve">GymBeam operates in all 9 target countries. Price not captured.</t>
  </si>
  <si>
    <t xml:space="preserve">Swanson</t>
  </si>
  <si>
    <t xml:space="preserve">Creatine Monohydrate, Berry Punch</t>
  </si>
  <si>
    <t xml:space="preserve">Media Expert</t>
  </si>
  <si>
    <t xml:space="preserve">https://www.mediaexpert.pl/sport-i-rekreacja/suplementy-na-silownie/kreatyna/monohydrat-kreatyny-swanson-jagodowy-poncz-120-zelek</t>
  </si>
  <si>
    <t xml:space="preserve">Meta ads: Swanson creatine gummies</t>
  </si>
  <si>
    <t xml:space="preserve">Creatine monohydrate</t>
  </si>
  <si>
    <t xml:space="preserve">Swanson (US)</t>
  </si>
  <si>
    <t xml:space="preserve">Calculated from the listed 0.92 zł per gummy × 120.</t>
  </si>
  <si>
    <t xml:space="preserve">AlphaBear</t>
  </si>
  <si>
    <t xml:space="preserve">Creatine Monohydrate 5000mg, Berry</t>
  </si>
  <si>
    <t xml:space="preserve">Kaufland.pl</t>
  </si>
  <si>
    <t xml:space="preserve">https://www.kaufland.pl/product/555595291/</t>
  </si>
  <si>
    <t xml:space="preserve">Meta ads: AlphaBear creatine</t>
  </si>
  <si>
    <t xml:space="preserve">Creatine monohydrate 5g/day, vegan</t>
  </si>
  <si>
    <t xml:space="preserve">AlphaBear (DE)</t>
  </si>
  <si>
    <t xml:space="preserve">Also sold on kaufland.de.</t>
  </si>
  <si>
    <t xml:space="preserve">West products tracked</t>
  </si>
  <si>
    <t xml:space="preserve">CEE competitors found</t>
  </si>
  <si>
    <t xml:space="preserve">Avg West price / gummy (EUR)</t>
  </si>
  <si>
    <t xml:space="preserve">Avg CEE price / gummy (EUR)</t>
  </si>
  <si>
    <t xml:space="preserve">Total live Meta ads counted</t>
  </si>
  <si>
    <t xml:space="preserve">Verdict for your 9 countries</t>
  </si>
  <si>
    <t xml:space="preserve">Why</t>
  </si>
  <si>
    <t xml:space="preserve">BEST OPPORTUNITY</t>
  </si>
  <si>
    <t xml:space="preserve">Europe's gummy market leader (Bears with Benefits) and Manhaé are not in CEE. Only one menopause gummy in RO and no PMS gummy in PL (capsules only).</t>
  </si>
  <si>
    <t xml:space="preserve">STRONG</t>
  </si>
  <si>
    <t xml:space="preserve">Many UK brands on shelf at H&amp;B and Superdrug. In CEE, only Kompava (CZ/SK); PL sells capsules and powder only.</t>
  </si>
  <si>
    <t xml:space="preserve">H&amp;B's best-selling product of the year. No sea moss gummy found in PL or RO. Watch the iodine level per serving.</t>
  </si>
  <si>
    <t xml:space="preserve">GOOD – price gap</t>
  </si>
  <si>
    <t xml:space="preserve">Only a weak marketplace seller (PL/CZ) and an expensive GNC import (RO). Allowed only as a food supplement in the EU.</t>
  </si>
  <si>
    <t xml:space="preserve">EARLY BET</t>
  </si>
  <si>
    <t xml:space="preserve">Still early in the West. PL knows colostrum but buys capsules and powder.</t>
  </si>
  <si>
    <t xml:space="preserve">Small even in the West; works as a summer line extension.</t>
  </si>
  <si>
    <t xml:space="preserve">CROWDED</t>
  </si>
  <si>
    <t xml:space="preserve">GymBeam Pink Beauty, Swanson and others already sell in CEE. Use only as an extension of a femhealth brand.</t>
  </si>
  <si>
    <t xml:space="preserve">AVOID</t>
  </si>
  <si>
    <t xml:space="preserve">GymBeam sells in all 9 countries; Weider, Swanson, AlphaBear and Re.Fuel in PL; Applied Nutrition in GR.</t>
  </si>
  <si>
    <t xml:space="preserve">Exchange rates used for EUR conversion</t>
  </si>
  <si>
    <t xml:space="preserve">Approximate rates (assumption, not live). Edit the blue cells and every EUR column recalculates.</t>
  </si>
  <si>
    <t xml:space="preserve">EUR per 1 unit</t>
  </si>
  <si>
    <t xml:space="preserve">CZK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</si>
</sst>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€#,##0.00"/>
    <numFmt numFmtId="167" formatCode="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485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vitalabo.com/bears-with-benefits/femtastic-pms-vitamins" TargetMode="External"/><Relationship Id="rId3" Type="http://schemas.openxmlformats.org/officeDocument/2006/relationships/hyperlink" Target="https://www.facebook.com/ads/library/?active_status=active&amp;ad_type=all&amp;country=ALL&amp;q=Bears%20with%20Benefits&amp;search_type=keyword_unordered&amp;media_type=all" TargetMode="External"/><Relationship Id="rId4" Type="http://schemas.openxmlformats.org/officeDocument/2006/relationships/hyperlink" Target="https://www.redcare-pharmacie.fr/hygiene-et-sante/F00421412/manhae-menopause-gummies.htm" TargetMode="External"/><Relationship Id="rId5" Type="http://schemas.openxmlformats.org/officeDocument/2006/relationships/hyperlink" Target="https://www.facebook.com/ads/library/?active_status=active&amp;ad_type=all&amp;country=ALL&amp;q=Manha&#233;&amp;search_type=keyword_unordered&amp;media_type=all" TargetMode="External"/><Relationship Id="rId6" Type="http://schemas.openxmlformats.org/officeDocument/2006/relationships/hyperlink" Target="https://www.drmax.ro/menopause-gummies-manhae-60-jeleuri-vitavea" TargetMode="External"/><Relationship Id="rId7" Type="http://schemas.openxmlformats.org/officeDocument/2006/relationships/hyperlink" Target="https://www.facebook.com/ads/library/?active_status=active&amp;ad_type=all&amp;country=ALL&amp;q=Manha&#233;&amp;search_type=keyword_unordered&amp;media_type=all" TargetMode="External"/><Relationship Id="rId8" Type="http://schemas.openxmlformats.org/officeDocument/2006/relationships/hyperlink" Target="https://www.ecco-verde.co.uk/mummy-gummy/menopause-2" TargetMode="External"/><Relationship Id="rId9" Type="http://schemas.openxmlformats.org/officeDocument/2006/relationships/hyperlink" Target="https://www.facebook.com/ads/library/?active_status=active&amp;ad_type=all&amp;country=ALL&amp;q=Mummy%20Gummy&amp;search_type=keyword_unordered&amp;media_type=all" TargetMode="External"/><Relationship Id="rId10" Type="http://schemas.openxmlformats.org/officeDocument/2006/relationships/hyperlink" Target="https://ecco-verde.co.uk/mummy-gummy/pms-2" TargetMode="External"/><Relationship Id="rId11" Type="http://schemas.openxmlformats.org/officeDocument/2006/relationships/hyperlink" Target="https://www.facebook.com/ads/library/?active_status=active&amp;ad_type=all&amp;country=ALL&amp;q=Mummy%20Gummy&amp;search_type=keyword_unordered&amp;media_type=all" TargetMode="External"/><Relationship Id="rId12" Type="http://schemas.openxmlformats.org/officeDocument/2006/relationships/hyperlink" Target="https://www.notino.pl/zoe/pms-b6-kapsulki-do-wsparcia-rownowagi-hormonalnej/" TargetMode="External"/><Relationship Id="rId13" Type="http://schemas.openxmlformats.org/officeDocument/2006/relationships/hyperlink" Target="https://www.facebook.com/ads/library/?active_status=active&amp;ad_type=all&amp;country=ALL&amp;q=ZOE%20PMS-B6&amp;search_type=keyword_unordered&amp;media_type=all" TargetMode="External"/><Relationship Id="rId14" Type="http://schemas.openxmlformats.org/officeDocument/2006/relationships/hyperlink" Target="https://www.hollandandbarrett.com/shop/product/fourfive-focus-energy-lion-s-mane-4000mg-60-gummies-6100003656" TargetMode="External"/><Relationship Id="rId15" Type="http://schemas.openxmlformats.org/officeDocument/2006/relationships/hyperlink" Target="https://www.facebook.com/ads/library/?active_status=active&amp;ad_type=all&amp;country=ALL&amp;q=fourfive&amp;search_type=keyword_unordered&amp;media_type=all" TargetMode="External"/><Relationship Id="rId16" Type="http://schemas.openxmlformats.org/officeDocument/2006/relationships/hyperlink" Target="https://www.hollandandbarrett.com/shop/product/nutrigums-lion-s-mane-complex-60-gummies-6100017092" TargetMode="External"/><Relationship Id="rId17" Type="http://schemas.openxmlformats.org/officeDocument/2006/relationships/hyperlink" Target="https://www.facebook.com/ads/library/?active_status=active&amp;ad_type=all&amp;country=ALL&amp;q=Nutrigums&amp;search_type=keyword_unordered&amp;media_type=all" TargetMode="External"/><Relationship Id="rId18" Type="http://schemas.openxmlformats.org/officeDocument/2006/relationships/hyperlink" Target="https://hollandandbarrett.com/shop/product/starpowa-lion-s-mane-500mg-60-gummies-6100001690" TargetMode="External"/><Relationship Id="rId19" Type="http://schemas.openxmlformats.org/officeDocument/2006/relationships/hyperlink" Target="https://www.facebook.com/ads/library/?active_status=active&amp;ad_type=all&amp;country=ALL&amp;q=Starpowa&amp;search_type=keyword_unordered&amp;media_type=all" TargetMode="External"/><Relationship Id="rId20" Type="http://schemas.openxmlformats.org/officeDocument/2006/relationships/hyperlink" Target="https://www.superdrug.com/health/vitamins-supplements/multi-vitamins/new-leaf-lions-mane-gummies-with-vitamin-c-b5-60-fill/p/mp-00471066" TargetMode="External"/><Relationship Id="rId21" Type="http://schemas.openxmlformats.org/officeDocument/2006/relationships/hyperlink" Target="https://www.facebook.com/ads/library/?active_status=active&amp;ad_type=all&amp;country=ALL&amp;q=New%20Leaf%20Products&amp;search_type=keyword_unordered&amp;media_type=all" TargetMode="External"/><Relationship Id="rId22" Type="http://schemas.openxmlformats.org/officeDocument/2006/relationships/hyperlink" Target="https://myprotein.ie/p/sports-nutrition/mushroom-gummies-lion-s-mane-reishi/15726883" TargetMode="External"/><Relationship Id="rId23" Type="http://schemas.openxmlformats.org/officeDocument/2006/relationships/hyperlink" Target="https://www.facebook.com/ads/library/?active_status=active&amp;ad_type=all&amp;country=ALL&amp;q=Myprotein&amp;search_type=keyword_unordered&amp;media_type=all" TargetMode="External"/><Relationship Id="rId24" Type="http://schemas.openxmlformats.org/officeDocument/2006/relationships/hyperlink" Target="https://www.drmax.cz/kompava-memo-gummies-180-mg-60-cukrikov" TargetMode="External"/><Relationship Id="rId25" Type="http://schemas.openxmlformats.org/officeDocument/2006/relationships/hyperlink" Target="https://www.facebook.com/ads/library/?active_status=active&amp;ad_type=all&amp;country=ALL&amp;q=Kompava&amp;search_type=keyword_unordered&amp;media_type=all" TargetMode="External"/><Relationship Id="rId26" Type="http://schemas.openxmlformats.org/officeDocument/2006/relationships/hyperlink" Target="https://www.hollandandbarrett.com/shop/product/holland-barrett-sea-moss-apple-flavour-1000mg-60-gummies-6100022478" TargetMode="External"/><Relationship Id="rId27" Type="http://schemas.openxmlformats.org/officeDocument/2006/relationships/hyperlink" Target="https://www.facebook.com/ads/library/?active_status=active&amp;ad_type=all&amp;country=ALL&amp;q=Holland%20%26%20Barrett&amp;search_type=keyword_unordered&amp;media_type=all" TargetMode="External"/><Relationship Id="rId28" Type="http://schemas.openxmlformats.org/officeDocument/2006/relationships/hyperlink" Target="https://www.hollandandbarrett.ie/shop/product/starpowa-sea-moss-1000mg-60-gummies-6100001689" TargetMode="External"/><Relationship Id="rId29" Type="http://schemas.openxmlformats.org/officeDocument/2006/relationships/hyperlink" Target="https://www.facebook.com/ads/library/?active_status=active&amp;ad_type=all&amp;country=ALL&amp;q=Starpowa&amp;search_type=keyword_unordered&amp;media_type=all" TargetMode="External"/><Relationship Id="rId30" Type="http://schemas.openxmlformats.org/officeDocument/2006/relationships/hyperlink" Target="https://www.redcare-pharmacie.fr/hygiene-et-sante/F00572690/granions-shilajit.htm" TargetMode="External"/><Relationship Id="rId31" Type="http://schemas.openxmlformats.org/officeDocument/2006/relationships/hyperlink" Target="https://www.facebook.com/ads/library/?active_status=active&amp;ad_type=all&amp;country=ALL&amp;q=Granions&amp;search_type=keyword_unordered&amp;media_type=all" TargetMode="External"/><Relationship Id="rId32" Type="http://schemas.openxmlformats.org/officeDocument/2006/relationships/hyperlink" Target="https://www.docmorris.de/shilajit-ashwagandha-gummies-von-canitat-m/FPCPZ9TM" TargetMode="External"/><Relationship Id="rId33" Type="http://schemas.openxmlformats.org/officeDocument/2006/relationships/hyperlink" Target="https://www.facebook.com/ads/library/?active_status=active&amp;ad_type=all&amp;country=ALL&amp;q=Canitat&amp;search_type=keyword_unordered&amp;media_type=all" TargetMode="External"/><Relationship Id="rId34" Type="http://schemas.openxmlformats.org/officeDocument/2006/relationships/hyperlink" Target="https://www.kaufland.pl/product/539162050/" TargetMode="External"/><Relationship Id="rId35" Type="http://schemas.openxmlformats.org/officeDocument/2006/relationships/hyperlink" Target="https://www.facebook.com/ads/library/?active_status=active&amp;ad_type=all&amp;country=ALL&amp;q=shilajit%20gummies&amp;search_type=keyword_unordered&amp;media_type=all" TargetMode="External"/><Relationship Id="rId36" Type="http://schemas.openxmlformats.org/officeDocument/2006/relationships/hyperlink" Target="https://www.drmax.ro/jeleuri-de-shilajit-din-himalaya-pure-himalayan-shilajit-gummies-betteralt-60-jeleuri-gnc" TargetMode="External"/><Relationship Id="rId37" Type="http://schemas.openxmlformats.org/officeDocument/2006/relationships/hyperlink" Target="https://www.facebook.com/ads/library/?active_status=active&amp;ad_type=all&amp;country=ALL&amp;q=BetterAlt&amp;search_type=keyword_unordered&amp;media_type=all" TargetMode="External"/><Relationship Id="rId38" Type="http://schemas.openxmlformats.org/officeDocument/2006/relationships/hyperlink" Target="https://shop.tiktok.com/us/pdp/shilajit-gummies-with-sea-moss-ashwagandha-lion-s-mane/1731898657011568794" TargetMode="External"/><Relationship Id="rId39" Type="http://schemas.openxmlformats.org/officeDocument/2006/relationships/hyperlink" Target="https://www.facebook.com/ads/library/?active_status=active&amp;ad_type=all&amp;country=ALL&amp;q=Clean%20Nutra&amp;search_type=keyword_unordered&amp;media_type=all" TargetMode="External"/><Relationship Id="rId40" Type="http://schemas.openxmlformats.org/officeDocument/2006/relationships/hyperlink" Target="https://www.tiktokshop.com/pdp/himalayan-shilajit-gummies-by-inner-brightness-600mg-vegan-gluten-free-energy-booster/1731134527223337593" TargetMode="External"/><Relationship Id="rId41" Type="http://schemas.openxmlformats.org/officeDocument/2006/relationships/hyperlink" Target="https://www.facebook.com/ads/library/?active_status=active&amp;ad_type=all&amp;country=ALL&amp;q=Inner%20Brightness&amp;search_type=keyword_unordered&amp;media_type=all" TargetMode="External"/><Relationship Id="rId42" Type="http://schemas.openxmlformats.org/officeDocument/2006/relationships/hyperlink" Target="https://glamglobal.co.uk/products/lemme-colostrum-gummies-60-gummies-gut-health-digestion-immunity-support-with-vitamin-d3" TargetMode="External"/><Relationship Id="rId43" Type="http://schemas.openxmlformats.org/officeDocument/2006/relationships/hyperlink" Target="https://www.facebook.com/ads/library/?active_status=active&amp;ad_type=all&amp;country=ALL&amp;q=Lemme&amp;search_type=keyword_unordered&amp;media_type=all" TargetMode="External"/><Relationship Id="rId44" Type="http://schemas.openxmlformats.org/officeDocument/2006/relationships/hyperlink" Target="https://liveinthelight.co.uk/products/wonderhydrate-electrolyte-gummies" TargetMode="External"/><Relationship Id="rId45" Type="http://schemas.openxmlformats.org/officeDocument/2006/relationships/hyperlink" Target="https://www.facebook.com/ads/library/?active_status=active&amp;ad_type=all&amp;country=ALL&amp;q=Plant%20People%20WonderHydrate&amp;search_type=keyword_unordered&amp;media_type=all" TargetMode="External"/><Relationship Id="rId46" Type="http://schemas.openxmlformats.org/officeDocument/2006/relationships/hyperlink" Target="https://johnbellcroyden.co.uk/products/the-bytes-company-hydrate-bytes-60-watermelon-kiwi-gummies" TargetMode="External"/><Relationship Id="rId47" Type="http://schemas.openxmlformats.org/officeDocument/2006/relationships/hyperlink" Target="https://www.facebook.com/ads/library/?active_status=active&amp;ad_type=all&amp;country=ALL&amp;q=Hydrate%20Bytes&amp;search_type=keyword_unordered&amp;media_type=all" TargetMode="External"/><Relationship Id="rId48" Type="http://schemas.openxmlformats.org/officeDocument/2006/relationships/hyperlink" Target="https://www.dm.at/p/d/1580777/bears-with-benefits-ah-mazing-hair-vitamin-biotin-gummibaerchen" TargetMode="External"/><Relationship Id="rId49" Type="http://schemas.openxmlformats.org/officeDocument/2006/relationships/hyperlink" Target="https://www.facebook.com/ads/library/?active_status=active&amp;ad_type=all&amp;country=ALL&amp;q=Bears%20with%20Benefits&amp;search_type=keyword_unordered&amp;media_type=all" TargetMode="External"/><Relationship Id="rId50" Type="http://schemas.openxmlformats.org/officeDocument/2006/relationships/hyperlink" Target="https://www.manor.ch/fr/p/10002546616" TargetMode="External"/><Relationship Id="rId51" Type="http://schemas.openxmlformats.org/officeDocument/2006/relationships/hyperlink" Target="https://www.facebook.com/ads/library/?active_status=active&amp;ad_type=all&amp;country=ALL&amp;q=Lashil&#233;&amp;search_type=keyword_unordered&amp;media_type=all" TargetMode="External"/><Relationship Id="rId52" Type="http://schemas.openxmlformats.org/officeDocument/2006/relationships/hyperlink" Target="https://www.hollandandbarrett.com/shop/product/strawberry-flavoured-creatine-gummies-food-supplement-with-sugar-ansd-sweetener-90-6100007176" TargetMode="External"/><Relationship Id="rId53" Type="http://schemas.openxmlformats.org/officeDocument/2006/relationships/hyperlink" Target="https://www.facebook.com/ads/library/?active_status=active&amp;ad_type=all&amp;country=ALL&amp;q=Novomins&amp;search_type=keyword_unordered&amp;media_type=all" TargetMode="External"/><Relationship Id="rId54" Type="http://schemas.openxmlformats.org/officeDocument/2006/relationships/hyperlink" Target="https://www.notino.pl/gymbeam/creatine-yummies-zelki-wsparcie-wydolnosci-treningowej/" TargetMode="External"/><Relationship Id="rId55" Type="http://schemas.openxmlformats.org/officeDocument/2006/relationships/hyperlink" Target="https://www.facebook.com/ads/library/?active_status=active&amp;ad_type=all&amp;country=ALL&amp;q=GymBeam&amp;search_type=keyword_unordered&amp;media_type=all" TargetMode="External"/><Relationship Id="rId56" Type="http://schemas.openxmlformats.org/officeDocument/2006/relationships/hyperlink" Target="https://www.mediaexpert.pl/sport-i-rekreacja/suplementy-na-silownie/kreatyna/monohydrat-kreatyny-swanson-jagodowy-poncz-120-zelek" TargetMode="External"/><Relationship Id="rId57" Type="http://schemas.openxmlformats.org/officeDocument/2006/relationships/hyperlink" Target="https://www.facebook.com/ads/library/?active_status=active&amp;ad_type=all&amp;country=ALL&amp;q=Swanson%20creatine%20gummies&amp;search_type=keyword_unordered&amp;media_type=all" TargetMode="External"/><Relationship Id="rId58" Type="http://schemas.openxmlformats.org/officeDocument/2006/relationships/hyperlink" Target="https://www.kaufland.pl/product/555595291/" TargetMode="External"/><Relationship Id="rId59" Type="http://schemas.openxmlformats.org/officeDocument/2006/relationships/hyperlink" Target="https://www.facebook.com/ads/library/?active_status=active&amp;ad_type=all&amp;country=ALL&amp;q=AlphaBear%20creatine&amp;search_type=keyword_unordered&amp;media_type=all" TargetMode="External"/><Relationship Id="rId60" Type="http://schemas.openxmlformats.org/officeDocument/2006/relationships/drawing" Target="../drawings/drawing1.xml"/><Relationship Id="rId61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45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5" min="14" style="0" width="9"/>
    <col collapsed="false" customWidth="true" hidden="false" outlineLevel="0" max="18" min="16" style="0" width="12"/>
    <col collapsed="false" customWidth="true" hidden="false" outlineLevel="0" max="19" min="19" style="0" width="20"/>
    <col collapsed="false" customWidth="true" hidden="false" outlineLevel="0" max="20" min="20" style="0" width="38"/>
    <col collapsed="false" customWidth="true" hidden="false" outlineLevel="0" max="21" min="21" style="0" width="26"/>
    <col collapsed="false" customWidth="true" hidden="false" outlineLevel="0" max="22" min="22" style="0" width="60"/>
  </cols>
  <sheetData>
    <row r="1" customFormat="false" ht="31.5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</row>
    <row r="2" customFormat="false" ht="35.05" hidden="false" customHeight="false" outlineLevel="0" collapsed="false">
      <c r="A2" s="6" t="n">
        <v>1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7" t="s">
        <v>45</v>
      </c>
      <c r="I2" s="7" t="s">
        <v>46</v>
      </c>
      <c r="J2" s="8"/>
      <c r="K2" s="6" t="s">
        <v>47</v>
      </c>
      <c r="L2" s="9" t="str">
        <f aca="false">IF(J2="","",J2*INDEX(FX!$B$5:$B$11,MATCH(K2,FX!$A$5:$A$11,0)))</f>
        <v/>
      </c>
      <c r="M2" s="10" t="n">
        <v>60</v>
      </c>
      <c r="N2" s="10" t="n">
        <v>2</v>
      </c>
      <c r="O2" s="11" t="n">
        <f aca="false">IFERROR(M2/N2,"")</f>
        <v>30</v>
      </c>
      <c r="P2" s="9" t="str">
        <f aca="false">IFERROR(L2/M2,"")</f>
        <v/>
      </c>
      <c r="Q2" s="9" t="str">
        <f aca="false">IFERROR(L2/O2,"")</f>
        <v/>
      </c>
      <c r="R2" s="12"/>
      <c r="S2" s="6" t="str">
        <f aca="false">IF(R2="","Not counted yet",IF(R2&gt;=50,"Scaling (50+ ads)",IF(R2&gt;=10,"Active testing (10–49)",IF(R2&gt;=1,"Low (1–9)","No live ads"))))</f>
        <v>Not counted yet</v>
      </c>
      <c r="T2" s="13" t="s">
        <v>48</v>
      </c>
      <c r="U2" s="13" t="s">
        <v>49</v>
      </c>
      <c r="V2" s="13" t="s">
        <v>50</v>
      </c>
    </row>
    <row r="3" customFormat="false" ht="23.85" hidden="false" customHeight="false" outlineLevel="0" collapsed="false">
      <c r="A3" s="6" t="n">
        <v>2</v>
      </c>
      <c r="B3" s="6" t="s">
        <v>39</v>
      </c>
      <c r="C3" s="6" t="s">
        <v>40</v>
      </c>
      <c r="D3" s="6" t="s">
        <v>51</v>
      </c>
      <c r="E3" s="6" t="s">
        <v>52</v>
      </c>
      <c r="F3" s="6" t="s">
        <v>53</v>
      </c>
      <c r="G3" s="6" t="s">
        <v>54</v>
      </c>
      <c r="H3" s="7" t="s">
        <v>55</v>
      </c>
      <c r="I3" s="7" t="s">
        <v>56</v>
      </c>
      <c r="J3" s="8" t="n">
        <v>19.19</v>
      </c>
      <c r="K3" s="6" t="s">
        <v>47</v>
      </c>
      <c r="L3" s="9" t="n">
        <f aca="false">IF(J3="","",J3*INDEX(FX!$B$5:$B$11,MATCH(K3,FX!$A$5:$A$11,0)))</f>
        <v>19.19</v>
      </c>
      <c r="M3" s="10" t="n">
        <v>60</v>
      </c>
      <c r="N3" s="10" t="n">
        <v>2</v>
      </c>
      <c r="O3" s="11" t="n">
        <f aca="false">IFERROR(M3/N3,"")</f>
        <v>30</v>
      </c>
      <c r="P3" s="9" t="n">
        <f aca="false">IFERROR(L3/M3,"")</f>
        <v>0.319833333333333</v>
      </c>
      <c r="Q3" s="9" t="n">
        <f aca="false">IFERROR(L3/O3,"")</f>
        <v>0.639666666666667</v>
      </c>
      <c r="R3" s="12"/>
      <c r="S3" s="6" t="str">
        <f aca="false">IF(R3="","Not counted yet",IF(R3&gt;=50,"Scaling (50+ ads)",IF(R3&gt;=10,"Active testing (10–49)",IF(R3&gt;=1,"Low (1–9)","No live ads"))))</f>
        <v>Not counted yet</v>
      </c>
      <c r="T3" s="13" t="s">
        <v>57</v>
      </c>
      <c r="U3" s="13" t="s">
        <v>49</v>
      </c>
      <c r="V3" s="13" t="s">
        <v>58</v>
      </c>
    </row>
    <row r="4" customFormat="false" ht="15" hidden="false" customHeight="false" outlineLevel="0" collapsed="false">
      <c r="A4" s="6" t="n">
        <v>3</v>
      </c>
      <c r="B4" s="6" t="s">
        <v>39</v>
      </c>
      <c r="C4" s="6" t="s">
        <v>59</v>
      </c>
      <c r="D4" s="6" t="s">
        <v>51</v>
      </c>
      <c r="E4" s="6" t="s">
        <v>60</v>
      </c>
      <c r="F4" s="6" t="s">
        <v>61</v>
      </c>
      <c r="G4" s="6" t="s">
        <v>62</v>
      </c>
      <c r="H4" s="7" t="s">
        <v>63</v>
      </c>
      <c r="I4" s="7" t="s">
        <v>56</v>
      </c>
      <c r="J4" s="8" t="n">
        <v>105.49</v>
      </c>
      <c r="K4" s="6" t="s">
        <v>64</v>
      </c>
      <c r="L4" s="9" t="n">
        <f aca="false">IF(J4="","",J4*INDEX(FX!$B$5:$B$11,MATCH(K4,FX!$A$5:$A$11,0)))</f>
        <v>21.098</v>
      </c>
      <c r="M4" s="10" t="n">
        <v>60</v>
      </c>
      <c r="N4" s="10" t="n">
        <v>2</v>
      </c>
      <c r="O4" s="11" t="n">
        <f aca="false">IFERROR(M4/N4,"")</f>
        <v>30</v>
      </c>
      <c r="P4" s="9" t="n">
        <f aca="false">IFERROR(L4/M4,"")</f>
        <v>0.351633333333333</v>
      </c>
      <c r="Q4" s="9" t="n">
        <f aca="false">IFERROR(L4/O4,"")</f>
        <v>0.703266666666667</v>
      </c>
      <c r="R4" s="12"/>
      <c r="S4" s="6" t="str">
        <f aca="false">IF(R4="","Not counted yet",IF(R4&gt;=50,"Scaling (50+ ads)",IF(R4&gt;=10,"Active testing (10–49)",IF(R4&gt;=1,"Low (1–9)","No live ads"))))</f>
        <v>Not counted yet</v>
      </c>
      <c r="T4" s="13" t="s">
        <v>65</v>
      </c>
      <c r="U4" s="13" t="s">
        <v>49</v>
      </c>
      <c r="V4" s="13" t="s">
        <v>66</v>
      </c>
    </row>
    <row r="5" customFormat="false" ht="15" hidden="false" customHeight="false" outlineLevel="0" collapsed="false">
      <c r="A5" s="6" t="n">
        <v>4</v>
      </c>
      <c r="B5" s="6" t="s">
        <v>39</v>
      </c>
      <c r="C5" s="6" t="s">
        <v>40</v>
      </c>
      <c r="D5" s="6" t="s">
        <v>67</v>
      </c>
      <c r="E5" s="6" t="s">
        <v>68</v>
      </c>
      <c r="F5" s="6" t="s">
        <v>69</v>
      </c>
      <c r="G5" s="6" t="s">
        <v>70</v>
      </c>
      <c r="H5" s="7" t="s">
        <v>71</v>
      </c>
      <c r="I5" s="7" t="s">
        <v>72</v>
      </c>
      <c r="J5" s="8" t="n">
        <v>11.95</v>
      </c>
      <c r="K5" s="6" t="s">
        <v>73</v>
      </c>
      <c r="L5" s="9" t="n">
        <f aca="false">IF(J5="","",J5*INDEX(FX!$B$5:$B$11,MATCH(K5,FX!$A$5:$A$11,0)))</f>
        <v>13.9815</v>
      </c>
      <c r="M5" s="10" t="n">
        <v>60</v>
      </c>
      <c r="N5" s="10" t="n">
        <v>2</v>
      </c>
      <c r="O5" s="11" t="n">
        <f aca="false">IFERROR(M5/N5,"")</f>
        <v>30</v>
      </c>
      <c r="P5" s="9" t="n">
        <f aca="false">IFERROR(L5/M5,"")</f>
        <v>0.233025</v>
      </c>
      <c r="Q5" s="9" t="n">
        <f aca="false">IFERROR(L5/O5,"")</f>
        <v>0.46605</v>
      </c>
      <c r="R5" s="12"/>
      <c r="S5" s="6" t="str">
        <f aca="false">IF(R5="","Not counted yet",IF(R5&gt;=50,"Scaling (50+ ads)",IF(R5&gt;=10,"Active testing (10–49)",IF(R5&gt;=1,"Low (1–9)","No live ads"))))</f>
        <v>Not counted yet</v>
      </c>
      <c r="T5" s="13" t="s">
        <v>74</v>
      </c>
      <c r="U5" s="13" t="s">
        <v>75</v>
      </c>
      <c r="V5" s="13" t="s">
        <v>76</v>
      </c>
    </row>
    <row r="6" customFormat="false" ht="15" hidden="false" customHeight="false" outlineLevel="0" collapsed="false">
      <c r="A6" s="6" t="n">
        <v>5</v>
      </c>
      <c r="B6" s="6" t="s">
        <v>39</v>
      </c>
      <c r="C6" s="6" t="s">
        <v>40</v>
      </c>
      <c r="D6" s="6" t="s">
        <v>67</v>
      </c>
      <c r="E6" s="6" t="s">
        <v>77</v>
      </c>
      <c r="F6" s="6" t="s">
        <v>69</v>
      </c>
      <c r="G6" s="6" t="s">
        <v>70</v>
      </c>
      <c r="H6" s="7" t="s">
        <v>78</v>
      </c>
      <c r="I6" s="7" t="s">
        <v>72</v>
      </c>
      <c r="J6" s="8"/>
      <c r="K6" s="6" t="s">
        <v>73</v>
      </c>
      <c r="L6" s="9" t="str">
        <f aca="false">IF(J6="","",J6*INDEX(FX!$B$5:$B$11,MATCH(K6,FX!$A$5:$A$11,0)))</f>
        <v/>
      </c>
      <c r="M6" s="10" t="n">
        <v>60</v>
      </c>
      <c r="N6" s="10"/>
      <c r="O6" s="11" t="str">
        <f aca="false">IFERROR(M6/N6,"")</f>
        <v/>
      </c>
      <c r="P6" s="9" t="str">
        <f aca="false">IFERROR(L6/M6,"")</f>
        <v/>
      </c>
      <c r="Q6" s="9" t="str">
        <f aca="false">IFERROR(L6/O6,"")</f>
        <v/>
      </c>
      <c r="R6" s="12"/>
      <c r="S6" s="6" t="str">
        <f aca="false">IF(R6="","Not counted yet",IF(R6&gt;=50,"Scaling (50+ ads)",IF(R6&gt;=10,"Active testing (10–49)",IF(R6&gt;=1,"Low (1–9)","No live ads"))))</f>
        <v>Not counted yet</v>
      </c>
      <c r="T6" s="13" t="s">
        <v>79</v>
      </c>
      <c r="U6" s="13" t="s">
        <v>75</v>
      </c>
      <c r="V6" s="13" t="s">
        <v>80</v>
      </c>
    </row>
    <row r="7" customFormat="false" ht="23.85" hidden="false" customHeight="false" outlineLevel="0" collapsed="false">
      <c r="A7" s="6" t="n">
        <v>6</v>
      </c>
      <c r="B7" s="6" t="s">
        <v>39</v>
      </c>
      <c r="C7" s="6" t="s">
        <v>59</v>
      </c>
      <c r="D7" s="6" t="s">
        <v>81</v>
      </c>
      <c r="E7" s="6" t="s">
        <v>82</v>
      </c>
      <c r="F7" s="6" t="s">
        <v>83</v>
      </c>
      <c r="G7" s="6" t="s">
        <v>84</v>
      </c>
      <c r="H7" s="7" t="s">
        <v>85</v>
      </c>
      <c r="I7" s="7" t="s">
        <v>86</v>
      </c>
      <c r="J7" s="8" t="n">
        <v>119.8</v>
      </c>
      <c r="K7" s="6" t="s">
        <v>87</v>
      </c>
      <c r="L7" s="9" t="n">
        <f aca="false">IF(J7="","",J7*INDEX(FX!$B$5:$B$11,MATCH(K7,FX!$A$5:$A$11,0)))</f>
        <v>28.153</v>
      </c>
      <c r="M7" s="10" t="n">
        <v>60</v>
      </c>
      <c r="N7" s="10"/>
      <c r="O7" s="11" t="str">
        <f aca="false">IFERROR(M7/N7,"")</f>
        <v/>
      </c>
      <c r="P7" s="9" t="n">
        <f aca="false">IFERROR(L7/M7,"")</f>
        <v>0.469216666666667</v>
      </c>
      <c r="Q7" s="9" t="str">
        <f aca="false">IFERROR(L7/O7,"")</f>
        <v/>
      </c>
      <c r="R7" s="12"/>
      <c r="S7" s="6" t="str">
        <f aca="false">IF(R7="","Not counted yet",IF(R7&gt;=50,"Scaling (50+ ads)",IF(R7&gt;=10,"Active testing (10–49)",IF(R7&gt;=1,"Low (1–9)","No live ads"))))</f>
        <v>Not counted yet</v>
      </c>
      <c r="T7" s="13" t="s">
        <v>88</v>
      </c>
      <c r="U7" s="13" t="s">
        <v>75</v>
      </c>
      <c r="V7" s="13" t="s">
        <v>89</v>
      </c>
    </row>
    <row r="8" customFormat="false" ht="15" hidden="false" customHeight="false" outlineLevel="0" collapsed="false">
      <c r="A8" s="6" t="n">
        <v>7</v>
      </c>
      <c r="B8" s="6" t="s">
        <v>90</v>
      </c>
      <c r="C8" s="6" t="s">
        <v>40</v>
      </c>
      <c r="D8" s="6" t="s">
        <v>91</v>
      </c>
      <c r="E8" s="6" t="s">
        <v>92</v>
      </c>
      <c r="F8" s="6" t="s">
        <v>69</v>
      </c>
      <c r="G8" s="6" t="s">
        <v>93</v>
      </c>
      <c r="H8" s="7" t="s">
        <v>94</v>
      </c>
      <c r="I8" s="7" t="s">
        <v>95</v>
      </c>
      <c r="J8" s="8" t="n">
        <v>25.99</v>
      </c>
      <c r="K8" s="6" t="s">
        <v>73</v>
      </c>
      <c r="L8" s="9" t="n">
        <f aca="false">IF(J8="","",J8*INDEX(FX!$B$5:$B$11,MATCH(K8,FX!$A$5:$A$11,0)))</f>
        <v>30.4083</v>
      </c>
      <c r="M8" s="10" t="n">
        <v>60</v>
      </c>
      <c r="N8" s="10"/>
      <c r="O8" s="11" t="str">
        <f aca="false">IFERROR(M8/N8,"")</f>
        <v/>
      </c>
      <c r="P8" s="9" t="n">
        <f aca="false">IFERROR(L8/M8,"")</f>
        <v>0.506805</v>
      </c>
      <c r="Q8" s="9" t="str">
        <f aca="false">IFERROR(L8/O8,"")</f>
        <v/>
      </c>
      <c r="R8" s="12"/>
      <c r="S8" s="6" t="str">
        <f aca="false">IF(R8="","Not counted yet",IF(R8&gt;=50,"Scaling (50+ ads)",IF(R8&gt;=10,"Active testing (10–49)",IF(R8&gt;=1,"Low (1–9)","No live ads"))))</f>
        <v>Not counted yet</v>
      </c>
      <c r="T8" s="13" t="s">
        <v>96</v>
      </c>
      <c r="U8" s="13" t="s">
        <v>97</v>
      </c>
      <c r="V8" s="13" t="s">
        <v>98</v>
      </c>
    </row>
    <row r="9" customFormat="false" ht="15" hidden="false" customHeight="false" outlineLevel="0" collapsed="false">
      <c r="A9" s="6" t="n">
        <v>8</v>
      </c>
      <c r="B9" s="6" t="s">
        <v>90</v>
      </c>
      <c r="C9" s="6" t="s">
        <v>40</v>
      </c>
      <c r="D9" s="6" t="s">
        <v>99</v>
      </c>
      <c r="E9" s="6" t="s">
        <v>100</v>
      </c>
      <c r="F9" s="6" t="s">
        <v>69</v>
      </c>
      <c r="G9" s="6" t="s">
        <v>93</v>
      </c>
      <c r="H9" s="7" t="s">
        <v>101</v>
      </c>
      <c r="I9" s="7" t="s">
        <v>102</v>
      </c>
      <c r="J9" s="8" t="n">
        <v>17.99</v>
      </c>
      <c r="K9" s="6" t="s">
        <v>73</v>
      </c>
      <c r="L9" s="9" t="n">
        <f aca="false">IF(J9="","",J9*INDEX(FX!$B$5:$B$11,MATCH(K9,FX!$A$5:$A$11,0)))</f>
        <v>21.0483</v>
      </c>
      <c r="M9" s="10" t="n">
        <v>60</v>
      </c>
      <c r="N9" s="10"/>
      <c r="O9" s="11" t="str">
        <f aca="false">IFERROR(M9/N9,"")</f>
        <v/>
      </c>
      <c r="P9" s="9" t="n">
        <f aca="false">IFERROR(L9/M9,"")</f>
        <v>0.350805</v>
      </c>
      <c r="Q9" s="9" t="str">
        <f aca="false">IFERROR(L9/O9,"")</f>
        <v/>
      </c>
      <c r="R9" s="12"/>
      <c r="S9" s="6" t="str">
        <f aca="false">IF(R9="","Not counted yet",IF(R9&gt;=50,"Scaling (50+ ads)",IF(R9&gt;=10,"Active testing (10–49)",IF(R9&gt;=1,"Low (1–9)","No live ads"))))</f>
        <v>Not counted yet</v>
      </c>
      <c r="T9" s="13" t="s">
        <v>103</v>
      </c>
      <c r="U9" s="13" t="s">
        <v>97</v>
      </c>
      <c r="V9" s="13"/>
    </row>
    <row r="10" customFormat="false" ht="15" hidden="false" customHeight="false" outlineLevel="0" collapsed="false">
      <c r="A10" s="6" t="n">
        <v>9</v>
      </c>
      <c r="B10" s="6" t="s">
        <v>90</v>
      </c>
      <c r="C10" s="6" t="s">
        <v>40</v>
      </c>
      <c r="D10" s="6" t="s">
        <v>104</v>
      </c>
      <c r="E10" s="6" t="s">
        <v>105</v>
      </c>
      <c r="F10" s="6" t="s">
        <v>69</v>
      </c>
      <c r="G10" s="6" t="s">
        <v>93</v>
      </c>
      <c r="H10" s="7" t="s">
        <v>106</v>
      </c>
      <c r="I10" s="7" t="s">
        <v>107</v>
      </c>
      <c r="J10" s="8"/>
      <c r="K10" s="6" t="s">
        <v>73</v>
      </c>
      <c r="L10" s="9" t="str">
        <f aca="false">IF(J10="","",J10*INDEX(FX!$B$5:$B$11,MATCH(K10,FX!$A$5:$A$11,0)))</f>
        <v/>
      </c>
      <c r="M10" s="10" t="n">
        <v>60</v>
      </c>
      <c r="N10" s="10"/>
      <c r="O10" s="11" t="str">
        <f aca="false">IFERROR(M10/N10,"")</f>
        <v/>
      </c>
      <c r="P10" s="9" t="str">
        <f aca="false">IFERROR(L10/M10,"")</f>
        <v/>
      </c>
      <c r="Q10" s="9" t="str">
        <f aca="false">IFERROR(L10/O10,"")</f>
        <v/>
      </c>
      <c r="R10" s="12"/>
      <c r="S10" s="6" t="str">
        <f aca="false">IF(R10="","Not counted yet",IF(R10&gt;=50,"Scaling (50+ ads)",IF(R10&gt;=10,"Active testing (10–49)",IF(R10&gt;=1,"Low (1–9)","No live ads"))))</f>
        <v>Not counted yet</v>
      </c>
      <c r="T10" s="13" t="s">
        <v>108</v>
      </c>
      <c r="U10" s="13" t="s">
        <v>97</v>
      </c>
      <c r="V10" s="13" t="s">
        <v>109</v>
      </c>
    </row>
    <row r="11" customFormat="false" ht="15" hidden="false" customHeight="false" outlineLevel="0" collapsed="false">
      <c r="A11" s="6" t="n">
        <v>10</v>
      </c>
      <c r="B11" s="6" t="s">
        <v>90</v>
      </c>
      <c r="C11" s="6" t="s">
        <v>40</v>
      </c>
      <c r="D11" s="6" t="s">
        <v>110</v>
      </c>
      <c r="E11" s="6" t="s">
        <v>111</v>
      </c>
      <c r="F11" s="6" t="s">
        <v>69</v>
      </c>
      <c r="G11" s="6" t="s">
        <v>112</v>
      </c>
      <c r="H11" s="7" t="s">
        <v>113</v>
      </c>
      <c r="I11" s="7" t="s">
        <v>114</v>
      </c>
      <c r="J11" s="8" t="n">
        <v>12.95</v>
      </c>
      <c r="K11" s="6" t="s">
        <v>73</v>
      </c>
      <c r="L11" s="9" t="n">
        <f aca="false">IF(J11="","",J11*INDEX(FX!$B$5:$B$11,MATCH(K11,FX!$A$5:$A$11,0)))</f>
        <v>15.1515</v>
      </c>
      <c r="M11" s="10" t="n">
        <v>60</v>
      </c>
      <c r="N11" s="10"/>
      <c r="O11" s="11" t="str">
        <f aca="false">IFERROR(M11/N11,"")</f>
        <v/>
      </c>
      <c r="P11" s="9" t="n">
        <f aca="false">IFERROR(L11/M11,"")</f>
        <v>0.252525</v>
      </c>
      <c r="Q11" s="9" t="str">
        <f aca="false">IFERROR(L11/O11,"")</f>
        <v/>
      </c>
      <c r="R11" s="12"/>
      <c r="S11" s="6" t="str">
        <f aca="false">IF(R11="","Not counted yet",IF(R11&gt;=50,"Scaling (50+ ads)",IF(R11&gt;=10,"Active testing (10–49)",IF(R11&gt;=1,"Low (1–9)","No live ads"))))</f>
        <v>Not counted yet</v>
      </c>
      <c r="T11" s="13" t="s">
        <v>115</v>
      </c>
      <c r="U11" s="13" t="s">
        <v>97</v>
      </c>
      <c r="V11" s="13" t="s">
        <v>116</v>
      </c>
    </row>
    <row r="12" customFormat="false" ht="23.85" hidden="false" customHeight="false" outlineLevel="0" collapsed="false">
      <c r="A12" s="6" t="n">
        <v>11</v>
      </c>
      <c r="B12" s="6" t="s">
        <v>90</v>
      </c>
      <c r="C12" s="6" t="s">
        <v>40</v>
      </c>
      <c r="D12" s="6" t="s">
        <v>117</v>
      </c>
      <c r="E12" s="6" t="s">
        <v>118</v>
      </c>
      <c r="F12" s="6" t="s">
        <v>119</v>
      </c>
      <c r="G12" s="6" t="s">
        <v>120</v>
      </c>
      <c r="H12" s="7" t="s">
        <v>121</v>
      </c>
      <c r="I12" s="7" t="s">
        <v>122</v>
      </c>
      <c r="J12" s="8" t="n">
        <v>24.99</v>
      </c>
      <c r="K12" s="6" t="s">
        <v>73</v>
      </c>
      <c r="L12" s="9" t="n">
        <f aca="false">IF(J12="","",J12*INDEX(FX!$B$5:$B$11,MATCH(K12,FX!$A$5:$A$11,0)))</f>
        <v>29.2383</v>
      </c>
      <c r="M12" s="10" t="n">
        <v>60</v>
      </c>
      <c r="N12" s="10"/>
      <c r="O12" s="11" t="str">
        <f aca="false">IFERROR(M12/N12,"")</f>
        <v/>
      </c>
      <c r="P12" s="9" t="n">
        <f aca="false">IFERROR(L12/M12,"")</f>
        <v>0.487305</v>
      </c>
      <c r="Q12" s="9" t="str">
        <f aca="false">IFERROR(L12/O12,"")</f>
        <v/>
      </c>
      <c r="R12" s="12"/>
      <c r="S12" s="6" t="str">
        <f aca="false">IF(R12="","Not counted yet",IF(R12&gt;=50,"Scaling (50+ ads)",IF(R12&gt;=10,"Active testing (10–49)",IF(R12&gt;=1,"Low (1–9)","No live ads"))))</f>
        <v>Not counted yet</v>
      </c>
      <c r="T12" s="13" t="s">
        <v>123</v>
      </c>
      <c r="U12" s="13" t="s">
        <v>124</v>
      </c>
      <c r="V12" s="13" t="s">
        <v>125</v>
      </c>
    </row>
    <row r="13" customFormat="false" ht="23.85" hidden="false" customHeight="false" outlineLevel="0" collapsed="false">
      <c r="A13" s="6" t="n">
        <v>12</v>
      </c>
      <c r="B13" s="6" t="s">
        <v>90</v>
      </c>
      <c r="C13" s="6" t="s">
        <v>59</v>
      </c>
      <c r="D13" s="6" t="s">
        <v>126</v>
      </c>
      <c r="E13" s="6" t="s">
        <v>127</v>
      </c>
      <c r="F13" s="6" t="s">
        <v>128</v>
      </c>
      <c r="G13" s="6" t="s">
        <v>129</v>
      </c>
      <c r="H13" s="7" t="s">
        <v>130</v>
      </c>
      <c r="I13" s="7" t="s">
        <v>131</v>
      </c>
      <c r="J13" s="8"/>
      <c r="K13" s="6" t="s">
        <v>47</v>
      </c>
      <c r="L13" s="9" t="str">
        <f aca="false">IF(J13="","",J13*INDEX(FX!$B$5:$B$11,MATCH(K13,FX!$A$5:$A$11,0)))</f>
        <v/>
      </c>
      <c r="M13" s="10" t="n">
        <v>60</v>
      </c>
      <c r="N13" s="10"/>
      <c r="O13" s="11" t="str">
        <f aca="false">IFERROR(M13/N13,"")</f>
        <v/>
      </c>
      <c r="P13" s="9" t="str">
        <f aca="false">IFERROR(L13/M13,"")</f>
        <v/>
      </c>
      <c r="Q13" s="9" t="str">
        <f aca="false">IFERROR(L13/O13,"")</f>
        <v/>
      </c>
      <c r="R13" s="12"/>
      <c r="S13" s="6" t="str">
        <f aca="false">IF(R13="","Not counted yet",IF(R13&gt;=50,"Scaling (50+ ads)",IF(R13&gt;=10,"Active testing (10–49)",IF(R13&gt;=1,"Low (1–9)","No live ads"))))</f>
        <v>Not counted yet</v>
      </c>
      <c r="T13" s="13" t="s">
        <v>132</v>
      </c>
      <c r="U13" s="13" t="s">
        <v>133</v>
      </c>
      <c r="V13" s="13" t="s">
        <v>134</v>
      </c>
    </row>
    <row r="14" customFormat="false" ht="15" hidden="false" customHeight="false" outlineLevel="0" collapsed="false">
      <c r="A14" s="6" t="n">
        <v>13</v>
      </c>
      <c r="B14" s="6" t="s">
        <v>135</v>
      </c>
      <c r="C14" s="6" t="s">
        <v>40</v>
      </c>
      <c r="D14" s="6" t="s">
        <v>93</v>
      </c>
      <c r="E14" s="6" t="s">
        <v>136</v>
      </c>
      <c r="F14" s="6" t="s">
        <v>69</v>
      </c>
      <c r="G14" s="6" t="s">
        <v>93</v>
      </c>
      <c r="H14" s="7" t="s">
        <v>137</v>
      </c>
      <c r="I14" s="7" t="s">
        <v>138</v>
      </c>
      <c r="J14" s="8" t="n">
        <v>16.99</v>
      </c>
      <c r="K14" s="6" t="s">
        <v>73</v>
      </c>
      <c r="L14" s="9" t="n">
        <f aca="false">IF(J14="","",J14*INDEX(FX!$B$5:$B$11,MATCH(K14,FX!$A$5:$A$11,0)))</f>
        <v>19.8783</v>
      </c>
      <c r="M14" s="10" t="n">
        <v>60</v>
      </c>
      <c r="N14" s="10"/>
      <c r="O14" s="11" t="str">
        <f aca="false">IFERROR(M14/N14,"")</f>
        <v/>
      </c>
      <c r="P14" s="9" t="n">
        <f aca="false">IFERROR(L14/M14,"")</f>
        <v>0.331305</v>
      </c>
      <c r="Q14" s="9" t="str">
        <f aca="false">IFERROR(L14/O14,"")</f>
        <v/>
      </c>
      <c r="R14" s="12"/>
      <c r="S14" s="6" t="str">
        <f aca="false">IF(R14="","Not counted yet",IF(R14&gt;=50,"Scaling (50+ ads)",IF(R14&gt;=10,"Active testing (10–49)",IF(R14&gt;=1,"Low (1–9)","No live ads"))))</f>
        <v>Not counted yet</v>
      </c>
      <c r="T14" s="13" t="s">
        <v>139</v>
      </c>
      <c r="U14" s="13" t="s">
        <v>140</v>
      </c>
      <c r="V14" s="13" t="s">
        <v>141</v>
      </c>
    </row>
    <row r="15" customFormat="false" ht="15" hidden="false" customHeight="false" outlineLevel="0" collapsed="false">
      <c r="A15" s="6" t="n">
        <v>14</v>
      </c>
      <c r="B15" s="6" t="s">
        <v>135</v>
      </c>
      <c r="C15" s="6" t="s">
        <v>40</v>
      </c>
      <c r="D15" s="6" t="s">
        <v>104</v>
      </c>
      <c r="E15" s="6" t="s">
        <v>142</v>
      </c>
      <c r="F15" s="6" t="s">
        <v>143</v>
      </c>
      <c r="G15" s="6" t="s">
        <v>144</v>
      </c>
      <c r="H15" s="7" t="s">
        <v>145</v>
      </c>
      <c r="I15" s="7" t="s">
        <v>107</v>
      </c>
      <c r="J15" s="8" t="n">
        <v>19.99</v>
      </c>
      <c r="K15" s="6" t="s">
        <v>73</v>
      </c>
      <c r="L15" s="9" t="n">
        <f aca="false">IF(J15="","",J15*INDEX(FX!$B$5:$B$11,MATCH(K15,FX!$A$5:$A$11,0)))</f>
        <v>23.3883</v>
      </c>
      <c r="M15" s="10" t="n">
        <v>60</v>
      </c>
      <c r="N15" s="10"/>
      <c r="O15" s="11" t="str">
        <f aca="false">IFERROR(M15/N15,"")</f>
        <v/>
      </c>
      <c r="P15" s="9" t="n">
        <f aca="false">IFERROR(L15/M15,"")</f>
        <v>0.389805</v>
      </c>
      <c r="Q15" s="9" t="str">
        <f aca="false">IFERROR(L15/O15,"")</f>
        <v/>
      </c>
      <c r="R15" s="12"/>
      <c r="S15" s="6" t="str">
        <f aca="false">IF(R15="","Not counted yet",IF(R15&gt;=50,"Scaling (50+ ads)",IF(R15&gt;=10,"Active testing (10–49)",IF(R15&gt;=1,"Low (1–9)","No live ads"))))</f>
        <v>Not counted yet</v>
      </c>
      <c r="T15" s="13" t="s">
        <v>146</v>
      </c>
      <c r="U15" s="13" t="s">
        <v>97</v>
      </c>
      <c r="V15" s="13" t="s">
        <v>147</v>
      </c>
    </row>
    <row r="16" customFormat="false" ht="15" hidden="false" customHeight="false" outlineLevel="0" collapsed="false">
      <c r="A16" s="6" t="n">
        <v>15</v>
      </c>
      <c r="B16" s="6" t="s">
        <v>148</v>
      </c>
      <c r="C16" s="6" t="s">
        <v>40</v>
      </c>
      <c r="D16" s="6" t="s">
        <v>149</v>
      </c>
      <c r="E16" s="6" t="s">
        <v>150</v>
      </c>
      <c r="F16" s="6" t="s">
        <v>53</v>
      </c>
      <c r="G16" s="6" t="s">
        <v>54</v>
      </c>
      <c r="H16" s="7" t="s">
        <v>151</v>
      </c>
      <c r="I16" s="7" t="s">
        <v>152</v>
      </c>
      <c r="J16" s="8" t="n">
        <v>18.69</v>
      </c>
      <c r="K16" s="6" t="s">
        <v>47</v>
      </c>
      <c r="L16" s="9" t="n">
        <f aca="false">IF(J16="","",J16*INDEX(FX!$B$5:$B$11,MATCH(K16,FX!$A$5:$A$11,0)))</f>
        <v>18.69</v>
      </c>
      <c r="M16" s="10" t="n">
        <v>60</v>
      </c>
      <c r="N16" s="10"/>
      <c r="O16" s="11" t="str">
        <f aca="false">IFERROR(M16/N16,"")</f>
        <v/>
      </c>
      <c r="P16" s="9" t="n">
        <f aca="false">IFERROR(L16/M16,"")</f>
        <v>0.3115</v>
      </c>
      <c r="Q16" s="9" t="str">
        <f aca="false">IFERROR(L16/O16,"")</f>
        <v/>
      </c>
      <c r="R16" s="12"/>
      <c r="S16" s="6" t="str">
        <f aca="false">IF(R16="","Not counted yet",IF(R16&gt;=50,"Scaling (50+ ads)",IF(R16&gt;=10,"Active testing (10–49)",IF(R16&gt;=1,"Low (1–9)","No live ads"))))</f>
        <v>Not counted yet</v>
      </c>
      <c r="T16" s="13" t="s">
        <v>153</v>
      </c>
      <c r="U16" s="13" t="s">
        <v>154</v>
      </c>
      <c r="V16" s="13" t="s">
        <v>155</v>
      </c>
    </row>
    <row r="17" customFormat="false" ht="23.85" hidden="false" customHeight="false" outlineLevel="0" collapsed="false">
      <c r="A17" s="6" t="n">
        <v>16</v>
      </c>
      <c r="B17" s="6" t="s">
        <v>148</v>
      </c>
      <c r="C17" s="6" t="s">
        <v>40</v>
      </c>
      <c r="D17" s="6" t="s">
        <v>156</v>
      </c>
      <c r="E17" s="6" t="s">
        <v>157</v>
      </c>
      <c r="F17" s="6" t="s">
        <v>43</v>
      </c>
      <c r="G17" s="6" t="s">
        <v>158</v>
      </c>
      <c r="H17" s="7" t="s">
        <v>159</v>
      </c>
      <c r="I17" s="7" t="s">
        <v>160</v>
      </c>
      <c r="J17" s="8"/>
      <c r="K17" s="6" t="s">
        <v>47</v>
      </c>
      <c r="L17" s="9" t="str">
        <f aca="false">IF(J17="","",J17*INDEX(FX!$B$5:$B$11,MATCH(K17,FX!$A$5:$A$11,0)))</f>
        <v/>
      </c>
      <c r="M17" s="10" t="n">
        <v>60</v>
      </c>
      <c r="N17" s="10" t="n">
        <v>2</v>
      </c>
      <c r="O17" s="11" t="n">
        <f aca="false">IFERROR(M17/N17,"")</f>
        <v>30</v>
      </c>
      <c r="P17" s="9" t="str">
        <f aca="false">IFERROR(L17/M17,"")</f>
        <v/>
      </c>
      <c r="Q17" s="9" t="str">
        <f aca="false">IFERROR(L17/O17,"")</f>
        <v/>
      </c>
      <c r="R17" s="12"/>
      <c r="S17" s="6" t="str">
        <f aca="false">IF(R17="","Not counted yet",IF(R17&gt;=50,"Scaling (50+ ads)",IF(R17&gt;=10,"Active testing (10–49)",IF(R17&gt;=1,"Low (1–9)","No live ads"))))</f>
        <v>Not counted yet</v>
      </c>
      <c r="T17" s="13" t="s">
        <v>161</v>
      </c>
      <c r="U17" s="13" t="s">
        <v>162</v>
      </c>
      <c r="V17" s="13" t="s">
        <v>163</v>
      </c>
    </row>
    <row r="18" customFormat="false" ht="15" hidden="false" customHeight="false" outlineLevel="0" collapsed="false">
      <c r="A18" s="6" t="n">
        <v>17</v>
      </c>
      <c r="B18" s="6" t="s">
        <v>148</v>
      </c>
      <c r="C18" s="6" t="s">
        <v>59</v>
      </c>
      <c r="D18" s="6" t="s">
        <v>164</v>
      </c>
      <c r="E18" s="6" t="s">
        <v>165</v>
      </c>
      <c r="F18" s="6" t="s">
        <v>166</v>
      </c>
      <c r="G18" s="6" t="s">
        <v>167</v>
      </c>
      <c r="H18" s="7" t="s">
        <v>168</v>
      </c>
      <c r="I18" s="7" t="s">
        <v>169</v>
      </c>
      <c r="J18" s="8" t="n">
        <v>120.22</v>
      </c>
      <c r="K18" s="6" t="s">
        <v>87</v>
      </c>
      <c r="L18" s="9" t="n">
        <f aca="false">IF(J18="","",J18*INDEX(FX!$B$5:$B$11,MATCH(K18,FX!$A$5:$A$11,0)))</f>
        <v>28.2517</v>
      </c>
      <c r="M18" s="10" t="n">
        <v>60</v>
      </c>
      <c r="N18" s="10" t="n">
        <v>2</v>
      </c>
      <c r="O18" s="11" t="n">
        <f aca="false">IFERROR(M18/N18,"")</f>
        <v>30</v>
      </c>
      <c r="P18" s="9" t="n">
        <f aca="false">IFERROR(L18/M18,"")</f>
        <v>0.470861666666667</v>
      </c>
      <c r="Q18" s="9" t="n">
        <f aca="false">IFERROR(L18/O18,"")</f>
        <v>0.941723333333333</v>
      </c>
      <c r="R18" s="12"/>
      <c r="S18" s="6" t="str">
        <f aca="false">IF(R18="","Not counted yet",IF(R18&gt;=50,"Scaling (50+ ads)",IF(R18&gt;=10,"Active testing (10–49)",IF(R18&gt;=1,"Low (1–9)","No live ads"))))</f>
        <v>Not counted yet</v>
      </c>
      <c r="T18" s="13" t="s">
        <v>170</v>
      </c>
      <c r="U18" s="13" t="s">
        <v>171</v>
      </c>
      <c r="V18" s="13" t="s">
        <v>172</v>
      </c>
    </row>
    <row r="19" customFormat="false" ht="15" hidden="false" customHeight="false" outlineLevel="0" collapsed="false">
      <c r="A19" s="6" t="n">
        <v>18</v>
      </c>
      <c r="B19" s="6" t="s">
        <v>148</v>
      </c>
      <c r="C19" s="6" t="s">
        <v>59</v>
      </c>
      <c r="D19" s="6" t="s">
        <v>173</v>
      </c>
      <c r="E19" s="6" t="s">
        <v>174</v>
      </c>
      <c r="F19" s="6" t="s">
        <v>61</v>
      </c>
      <c r="G19" s="6" t="s">
        <v>62</v>
      </c>
      <c r="H19" s="7" t="s">
        <v>175</v>
      </c>
      <c r="I19" s="7" t="s">
        <v>176</v>
      </c>
      <c r="J19" s="8" t="n">
        <v>374.99</v>
      </c>
      <c r="K19" s="6" t="s">
        <v>64</v>
      </c>
      <c r="L19" s="9" t="n">
        <f aca="false">IF(J19="","",J19*INDEX(FX!$B$5:$B$11,MATCH(K19,FX!$A$5:$A$11,0)))</f>
        <v>74.998</v>
      </c>
      <c r="M19" s="10" t="n">
        <v>60</v>
      </c>
      <c r="N19" s="10"/>
      <c r="O19" s="11" t="str">
        <f aca="false">IFERROR(M19/N19,"")</f>
        <v/>
      </c>
      <c r="P19" s="9" t="n">
        <f aca="false">IFERROR(L19/M19,"")</f>
        <v>1.24996666666667</v>
      </c>
      <c r="Q19" s="9" t="str">
        <f aca="false">IFERROR(L19/O19,"")</f>
        <v/>
      </c>
      <c r="R19" s="12"/>
      <c r="S19" s="6" t="str">
        <f aca="false">IF(R19="","Not counted yet",IF(R19&gt;=50,"Scaling (50+ ads)",IF(R19&gt;=10,"Active testing (10–49)",IF(R19&gt;=1,"Low (1–9)","No live ads"))))</f>
        <v>Not counted yet</v>
      </c>
      <c r="T19" s="13" t="s">
        <v>177</v>
      </c>
      <c r="U19" s="13" t="s">
        <v>178</v>
      </c>
      <c r="V19" s="13" t="s">
        <v>179</v>
      </c>
    </row>
    <row r="20" customFormat="false" ht="15" hidden="false" customHeight="false" outlineLevel="0" collapsed="false">
      <c r="A20" s="6" t="n">
        <v>19</v>
      </c>
      <c r="B20" s="6" t="s">
        <v>148</v>
      </c>
      <c r="C20" s="6" t="s">
        <v>180</v>
      </c>
      <c r="D20" s="6" t="s">
        <v>181</v>
      </c>
      <c r="E20" s="6" t="s">
        <v>182</v>
      </c>
      <c r="F20" s="6" t="s">
        <v>183</v>
      </c>
      <c r="G20" s="6" t="s">
        <v>184</v>
      </c>
      <c r="H20" s="7" t="s">
        <v>185</v>
      </c>
      <c r="I20" s="7" t="s">
        <v>186</v>
      </c>
      <c r="J20" s="8"/>
      <c r="K20" s="6" t="s">
        <v>187</v>
      </c>
      <c r="L20" s="9" t="str">
        <f aca="false">IF(J20="","",J20*INDEX(FX!$B$5:$B$11,MATCH(K20,FX!$A$5:$A$11,0)))</f>
        <v/>
      </c>
      <c r="M20" s="10"/>
      <c r="N20" s="10"/>
      <c r="O20" s="11" t="str">
        <f aca="false">IFERROR(M20/N20,"")</f>
        <v/>
      </c>
      <c r="P20" s="9" t="str">
        <f aca="false">IFERROR(L20/M20,"")</f>
        <v/>
      </c>
      <c r="Q20" s="9" t="str">
        <f aca="false">IFERROR(L20/O20,"")</f>
        <v/>
      </c>
      <c r="R20" s="12"/>
      <c r="S20" s="6" t="str">
        <f aca="false">IF(R20="","Not counted yet",IF(R20&gt;=50,"Scaling (50+ ads)",IF(R20&gt;=10,"Active testing (10–49)",IF(R20&gt;=1,"Low (1–9)","No live ads"))))</f>
        <v>Not counted yet</v>
      </c>
      <c r="T20" s="13" t="s">
        <v>188</v>
      </c>
      <c r="U20" s="13" t="s">
        <v>189</v>
      </c>
      <c r="V20" s="13" t="s">
        <v>190</v>
      </c>
    </row>
    <row r="21" customFormat="false" ht="15" hidden="false" customHeight="false" outlineLevel="0" collapsed="false">
      <c r="A21" s="6" t="n">
        <v>20</v>
      </c>
      <c r="B21" s="6" t="s">
        <v>148</v>
      </c>
      <c r="C21" s="6" t="s">
        <v>180</v>
      </c>
      <c r="D21" s="6" t="s">
        <v>191</v>
      </c>
      <c r="E21" s="6" t="s">
        <v>192</v>
      </c>
      <c r="F21" s="6" t="s">
        <v>183</v>
      </c>
      <c r="G21" s="6" t="s">
        <v>184</v>
      </c>
      <c r="H21" s="7" t="s">
        <v>193</v>
      </c>
      <c r="I21" s="7" t="s">
        <v>194</v>
      </c>
      <c r="J21" s="8" t="n">
        <v>17.99</v>
      </c>
      <c r="K21" s="6" t="s">
        <v>187</v>
      </c>
      <c r="L21" s="9" t="n">
        <f aca="false">IF(J21="","",J21*INDEX(FX!$B$5:$B$11,MATCH(K21,FX!$A$5:$A$11,0)))</f>
        <v>16.5508</v>
      </c>
      <c r="M21" s="10" t="n">
        <v>60</v>
      </c>
      <c r="N21" s="10"/>
      <c r="O21" s="11" t="str">
        <f aca="false">IFERROR(M21/N21,"")</f>
        <v/>
      </c>
      <c r="P21" s="9" t="n">
        <f aca="false">IFERROR(L21/M21,"")</f>
        <v>0.275846666666667</v>
      </c>
      <c r="Q21" s="9" t="str">
        <f aca="false">IFERROR(L21/O21,"")</f>
        <v/>
      </c>
      <c r="R21" s="12"/>
      <c r="S21" s="6" t="str">
        <f aca="false">IF(R21="","Not counted yet",IF(R21&gt;=50,"Scaling (50+ ads)",IF(R21&gt;=10,"Active testing (10–49)",IF(R21&gt;=1,"Low (1–9)","No live ads"))))</f>
        <v>Not counted yet</v>
      </c>
      <c r="T21" s="13" t="s">
        <v>195</v>
      </c>
      <c r="U21" s="13" t="s">
        <v>189</v>
      </c>
      <c r="V21" s="13" t="s">
        <v>196</v>
      </c>
    </row>
    <row r="22" customFormat="false" ht="15" hidden="false" customHeight="false" outlineLevel="0" collapsed="false">
      <c r="A22" s="6" t="n">
        <v>21</v>
      </c>
      <c r="B22" s="6" t="s">
        <v>197</v>
      </c>
      <c r="C22" s="6" t="s">
        <v>40</v>
      </c>
      <c r="D22" s="6" t="s">
        <v>198</v>
      </c>
      <c r="E22" s="6" t="s">
        <v>199</v>
      </c>
      <c r="F22" s="6" t="s">
        <v>200</v>
      </c>
      <c r="G22" s="6" t="s">
        <v>201</v>
      </c>
      <c r="H22" s="7" t="s">
        <v>202</v>
      </c>
      <c r="I22" s="7" t="s">
        <v>203</v>
      </c>
      <c r="J22" s="8"/>
      <c r="K22" s="6" t="s">
        <v>73</v>
      </c>
      <c r="L22" s="9" t="str">
        <f aca="false">IF(J22="","",J22*INDEX(FX!$B$5:$B$11,MATCH(K22,FX!$A$5:$A$11,0)))</f>
        <v/>
      </c>
      <c r="M22" s="10" t="n">
        <v>60</v>
      </c>
      <c r="N22" s="10"/>
      <c r="O22" s="11" t="str">
        <f aca="false">IFERROR(M22/N22,"")</f>
        <v/>
      </c>
      <c r="P22" s="9" t="str">
        <f aca="false">IFERROR(L22/M22,"")</f>
        <v/>
      </c>
      <c r="Q22" s="9" t="str">
        <f aca="false">IFERROR(L22/O22,"")</f>
        <v/>
      </c>
      <c r="R22" s="12"/>
      <c r="S22" s="6" t="str">
        <f aca="false">IF(R22="","Not counted yet",IF(R22&gt;=50,"Scaling (50+ ads)",IF(R22&gt;=10,"Active testing (10–49)",IF(R22&gt;=1,"Low (1–9)","No live ads"))))</f>
        <v>Not counted yet</v>
      </c>
      <c r="T22" s="13" t="s">
        <v>204</v>
      </c>
      <c r="U22" s="13" t="s">
        <v>205</v>
      </c>
      <c r="V22" s="13" t="s">
        <v>206</v>
      </c>
    </row>
    <row r="23" customFormat="false" ht="15" hidden="false" customHeight="false" outlineLevel="0" collapsed="false">
      <c r="A23" s="6" t="n">
        <v>22</v>
      </c>
      <c r="B23" s="6" t="s">
        <v>207</v>
      </c>
      <c r="C23" s="6" t="s">
        <v>40</v>
      </c>
      <c r="D23" s="6" t="s">
        <v>208</v>
      </c>
      <c r="E23" s="6" t="s">
        <v>209</v>
      </c>
      <c r="F23" s="6" t="s">
        <v>69</v>
      </c>
      <c r="G23" s="6" t="s">
        <v>210</v>
      </c>
      <c r="H23" s="7" t="s">
        <v>211</v>
      </c>
      <c r="I23" s="7" t="s">
        <v>212</v>
      </c>
      <c r="J23" s="8" t="n">
        <v>24.51</v>
      </c>
      <c r="K23" s="6" t="s">
        <v>73</v>
      </c>
      <c r="L23" s="9" t="n">
        <f aca="false">IF(J23="","",J23*INDEX(FX!$B$5:$B$11,MATCH(K23,FX!$A$5:$A$11,0)))</f>
        <v>28.6767</v>
      </c>
      <c r="M23" s="10" t="n">
        <v>42</v>
      </c>
      <c r="N23" s="10" t="n">
        <v>2</v>
      </c>
      <c r="O23" s="11" t="n">
        <f aca="false">IFERROR(M23/N23,"")</f>
        <v>21</v>
      </c>
      <c r="P23" s="9" t="n">
        <f aca="false">IFERROR(L23/M23,"")</f>
        <v>0.682778571428572</v>
      </c>
      <c r="Q23" s="9" t="n">
        <f aca="false">IFERROR(L23/O23,"")</f>
        <v>1.36555714285714</v>
      </c>
      <c r="R23" s="12"/>
      <c r="S23" s="6" t="str">
        <f aca="false">IF(R23="","Not counted yet",IF(R23&gt;=50,"Scaling (50+ ads)",IF(R23&gt;=10,"Active testing (10–49)",IF(R23&gt;=1,"Low (1–9)","No live ads"))))</f>
        <v>Not counted yet</v>
      </c>
      <c r="T23" s="13" t="s">
        <v>213</v>
      </c>
      <c r="U23" s="13" t="s">
        <v>214</v>
      </c>
      <c r="V23" s="13" t="s">
        <v>215</v>
      </c>
    </row>
    <row r="24" customFormat="false" ht="15" hidden="false" customHeight="false" outlineLevel="0" collapsed="false">
      <c r="A24" s="6" t="n">
        <v>23</v>
      </c>
      <c r="B24" s="6" t="s">
        <v>207</v>
      </c>
      <c r="C24" s="6" t="s">
        <v>40</v>
      </c>
      <c r="D24" s="6" t="s">
        <v>216</v>
      </c>
      <c r="E24" s="6" t="s">
        <v>217</v>
      </c>
      <c r="F24" s="6" t="s">
        <v>69</v>
      </c>
      <c r="G24" s="6" t="s">
        <v>218</v>
      </c>
      <c r="H24" s="7" t="s">
        <v>219</v>
      </c>
      <c r="I24" s="7" t="s">
        <v>220</v>
      </c>
      <c r="J24" s="8"/>
      <c r="K24" s="6" t="s">
        <v>73</v>
      </c>
      <c r="L24" s="9" t="str">
        <f aca="false">IF(J24="","",J24*INDEX(FX!$B$5:$B$11,MATCH(K24,FX!$A$5:$A$11,0)))</f>
        <v/>
      </c>
      <c r="M24" s="10" t="n">
        <v>60</v>
      </c>
      <c r="N24" s="10"/>
      <c r="O24" s="11" t="str">
        <f aca="false">IFERROR(M24/N24,"")</f>
        <v/>
      </c>
      <c r="P24" s="9" t="str">
        <f aca="false">IFERROR(L24/M24,"")</f>
        <v/>
      </c>
      <c r="Q24" s="9" t="str">
        <f aca="false">IFERROR(L24/O24,"")</f>
        <v/>
      </c>
      <c r="R24" s="12"/>
      <c r="S24" s="6" t="str">
        <f aca="false">IF(R24="","Not counted yet",IF(R24&gt;=50,"Scaling (50+ ads)",IF(R24&gt;=10,"Active testing (10–49)",IF(R24&gt;=1,"Low (1–9)","No live ads"))))</f>
        <v>Not counted yet</v>
      </c>
      <c r="T24" s="13" t="s">
        <v>221</v>
      </c>
      <c r="U24" s="13" t="s">
        <v>222</v>
      </c>
      <c r="V24" s="13" t="s">
        <v>163</v>
      </c>
    </row>
    <row r="25" customFormat="false" ht="15" hidden="false" customHeight="false" outlineLevel="0" collapsed="false">
      <c r="A25" s="6" t="n">
        <v>24</v>
      </c>
      <c r="B25" s="6" t="s">
        <v>223</v>
      </c>
      <c r="C25" s="6" t="s">
        <v>40</v>
      </c>
      <c r="D25" s="6" t="s">
        <v>41</v>
      </c>
      <c r="E25" s="6" t="s">
        <v>224</v>
      </c>
      <c r="F25" s="6" t="s">
        <v>225</v>
      </c>
      <c r="G25" s="6" t="s">
        <v>226</v>
      </c>
      <c r="H25" s="7" t="s">
        <v>227</v>
      </c>
      <c r="I25" s="7" t="s">
        <v>46</v>
      </c>
      <c r="J25" s="8" t="n">
        <v>14.9</v>
      </c>
      <c r="K25" s="6" t="s">
        <v>47</v>
      </c>
      <c r="L25" s="9" t="n">
        <f aca="false">IF(J25="","",J25*INDEX(FX!$B$5:$B$11,MATCH(K25,FX!$A$5:$A$11,0)))</f>
        <v>14.9</v>
      </c>
      <c r="M25" s="10" t="n">
        <v>45</v>
      </c>
      <c r="N25" s="10"/>
      <c r="O25" s="11" t="str">
        <f aca="false">IFERROR(M25/N25,"")</f>
        <v/>
      </c>
      <c r="P25" s="9" t="n">
        <f aca="false">IFERROR(L25/M25,"")</f>
        <v>0.331111111111111</v>
      </c>
      <c r="Q25" s="9" t="str">
        <f aca="false">IFERROR(L25/O25,"")</f>
        <v/>
      </c>
      <c r="R25" s="12"/>
      <c r="S25" s="6" t="str">
        <f aca="false">IF(R25="","Not counted yet",IF(R25&gt;=50,"Scaling (50+ ads)",IF(R25&gt;=10,"Active testing (10–49)",IF(R25&gt;=1,"Low (1–9)","No live ads"))))</f>
        <v>Not counted yet</v>
      </c>
      <c r="T25" s="13" t="s">
        <v>228</v>
      </c>
      <c r="U25" s="13" t="s">
        <v>49</v>
      </c>
      <c r="V25" s="13" t="s">
        <v>229</v>
      </c>
    </row>
    <row r="26" customFormat="false" ht="23.85" hidden="false" customHeight="false" outlineLevel="0" collapsed="false">
      <c r="A26" s="6" t="n">
        <v>25</v>
      </c>
      <c r="B26" s="6" t="s">
        <v>223</v>
      </c>
      <c r="C26" s="6" t="s">
        <v>40</v>
      </c>
      <c r="D26" s="6" t="s">
        <v>230</v>
      </c>
      <c r="E26" s="6" t="s">
        <v>231</v>
      </c>
      <c r="F26" s="6" t="s">
        <v>232</v>
      </c>
      <c r="G26" s="6" t="s">
        <v>233</v>
      </c>
      <c r="H26" s="7" t="s">
        <v>234</v>
      </c>
      <c r="I26" s="7" t="s">
        <v>235</v>
      </c>
      <c r="J26" s="8" t="n">
        <v>33.95</v>
      </c>
      <c r="K26" s="6" t="s">
        <v>236</v>
      </c>
      <c r="L26" s="9" t="n">
        <f aca="false">IF(J26="","",J26*INDEX(FX!$B$5:$B$11,MATCH(K26,FX!$A$5:$A$11,0)))</f>
        <v>36.3265</v>
      </c>
      <c r="M26" s="10" t="n">
        <v>60</v>
      </c>
      <c r="N26" s="10"/>
      <c r="O26" s="11" t="str">
        <f aca="false">IFERROR(M26/N26,"")</f>
        <v/>
      </c>
      <c r="P26" s="9" t="n">
        <f aca="false">IFERROR(L26/M26,"")</f>
        <v>0.605441666666667</v>
      </c>
      <c r="Q26" s="9" t="str">
        <f aca="false">IFERROR(L26/O26,"")</f>
        <v/>
      </c>
      <c r="R26" s="12"/>
      <c r="S26" s="6" t="str">
        <f aca="false">IF(R26="","Not counted yet",IF(R26&gt;=50,"Scaling (50+ ads)",IF(R26&gt;=10,"Active testing (10–49)",IF(R26&gt;=1,"Low (1–9)","No live ads"))))</f>
        <v>Not counted yet</v>
      </c>
      <c r="T26" s="13" t="s">
        <v>237</v>
      </c>
      <c r="U26" s="13" t="s">
        <v>238</v>
      </c>
      <c r="V26" s="13" t="s">
        <v>239</v>
      </c>
    </row>
    <row r="27" customFormat="false" ht="15" hidden="false" customHeight="false" outlineLevel="0" collapsed="false">
      <c r="A27" s="6" t="n">
        <v>26</v>
      </c>
      <c r="B27" s="6" t="s">
        <v>240</v>
      </c>
      <c r="C27" s="6" t="s">
        <v>40</v>
      </c>
      <c r="D27" s="6" t="s">
        <v>241</v>
      </c>
      <c r="E27" s="6" t="s">
        <v>242</v>
      </c>
      <c r="F27" s="6" t="s">
        <v>69</v>
      </c>
      <c r="G27" s="6" t="s">
        <v>93</v>
      </c>
      <c r="H27" s="7" t="s">
        <v>243</v>
      </c>
      <c r="I27" s="7" t="s">
        <v>244</v>
      </c>
      <c r="J27" s="8" t="n">
        <v>24.99</v>
      </c>
      <c r="K27" s="6" t="s">
        <v>73</v>
      </c>
      <c r="L27" s="9" t="n">
        <f aca="false">IF(J27="","",J27*INDEX(FX!$B$5:$B$11,MATCH(K27,FX!$A$5:$A$11,0)))</f>
        <v>29.2383</v>
      </c>
      <c r="M27" s="10" t="n">
        <v>90</v>
      </c>
      <c r="N27" s="10" t="n">
        <v>3</v>
      </c>
      <c r="O27" s="11" t="n">
        <f aca="false">IFERROR(M27/N27,"")</f>
        <v>30</v>
      </c>
      <c r="P27" s="9" t="n">
        <f aca="false">IFERROR(L27/M27,"")</f>
        <v>0.32487</v>
      </c>
      <c r="Q27" s="9" t="n">
        <f aca="false">IFERROR(L27/O27,"")</f>
        <v>0.97461</v>
      </c>
      <c r="R27" s="12"/>
      <c r="S27" s="6" t="str">
        <f aca="false">IF(R27="","Not counted yet",IF(R27&gt;=50,"Scaling (50+ ads)",IF(R27&gt;=10,"Active testing (10–49)",IF(R27&gt;=1,"Low (1–9)","No live ads"))))</f>
        <v>Not counted yet</v>
      </c>
      <c r="T27" s="13" t="s">
        <v>245</v>
      </c>
      <c r="U27" s="13" t="s">
        <v>246</v>
      </c>
      <c r="V27" s="13" t="s">
        <v>247</v>
      </c>
    </row>
    <row r="28" customFormat="false" ht="15" hidden="false" customHeight="false" outlineLevel="0" collapsed="false">
      <c r="A28" s="6" t="n">
        <v>27</v>
      </c>
      <c r="B28" s="6" t="s">
        <v>240</v>
      </c>
      <c r="C28" s="6" t="s">
        <v>59</v>
      </c>
      <c r="D28" s="6" t="s">
        <v>248</v>
      </c>
      <c r="E28" s="6" t="s">
        <v>249</v>
      </c>
      <c r="F28" s="6" t="s">
        <v>250</v>
      </c>
      <c r="G28" s="6" t="s">
        <v>84</v>
      </c>
      <c r="H28" s="7" t="s">
        <v>251</v>
      </c>
      <c r="I28" s="7" t="s">
        <v>252</v>
      </c>
      <c r="J28" s="8"/>
      <c r="K28" s="6" t="s">
        <v>87</v>
      </c>
      <c r="L28" s="9" t="str">
        <f aca="false">IF(J28="","",J28*INDEX(FX!$B$5:$B$11,MATCH(K28,FX!$A$5:$A$11,0)))</f>
        <v/>
      </c>
      <c r="M28" s="10"/>
      <c r="N28" s="10"/>
      <c r="O28" s="11" t="str">
        <f aca="false">IFERROR(M28/N28,"")</f>
        <v/>
      </c>
      <c r="P28" s="9" t="str">
        <f aca="false">IFERROR(L28/M28,"")</f>
        <v/>
      </c>
      <c r="Q28" s="9" t="str">
        <f aca="false">IFERROR(L28/O28,"")</f>
        <v/>
      </c>
      <c r="R28" s="12"/>
      <c r="S28" s="6" t="str">
        <f aca="false">IF(R28="","Not counted yet",IF(R28&gt;=50,"Scaling (50+ ads)",IF(R28&gt;=10,"Active testing (10–49)",IF(R28&gt;=1,"Low (1–9)","No live ads"))))</f>
        <v>Not counted yet</v>
      </c>
      <c r="T28" s="13" t="s">
        <v>253</v>
      </c>
      <c r="U28" s="13" t="s">
        <v>254</v>
      </c>
      <c r="V28" s="13" t="s">
        <v>255</v>
      </c>
    </row>
    <row r="29" customFormat="false" ht="15" hidden="false" customHeight="false" outlineLevel="0" collapsed="false">
      <c r="A29" s="6" t="n">
        <v>28</v>
      </c>
      <c r="B29" s="6" t="s">
        <v>240</v>
      </c>
      <c r="C29" s="6" t="s">
        <v>59</v>
      </c>
      <c r="D29" s="6" t="s">
        <v>256</v>
      </c>
      <c r="E29" s="6" t="s">
        <v>257</v>
      </c>
      <c r="F29" s="6" t="s">
        <v>83</v>
      </c>
      <c r="G29" s="6" t="s">
        <v>258</v>
      </c>
      <c r="H29" s="7" t="s">
        <v>259</v>
      </c>
      <c r="I29" s="7" t="s">
        <v>260</v>
      </c>
      <c r="J29" s="8" t="n">
        <v>110.4</v>
      </c>
      <c r="K29" s="6" t="s">
        <v>87</v>
      </c>
      <c r="L29" s="9" t="n">
        <f aca="false">IF(J29="","",J29*INDEX(FX!$B$5:$B$11,MATCH(K29,FX!$A$5:$A$11,0)))</f>
        <v>25.944</v>
      </c>
      <c r="M29" s="10" t="n">
        <v>120</v>
      </c>
      <c r="N29" s="10" t="n">
        <v>5</v>
      </c>
      <c r="O29" s="11" t="n">
        <f aca="false">IFERROR(M29/N29,"")</f>
        <v>24</v>
      </c>
      <c r="P29" s="9" t="n">
        <f aca="false">IFERROR(L29/M29,"")</f>
        <v>0.2162</v>
      </c>
      <c r="Q29" s="9" t="n">
        <f aca="false">IFERROR(L29/O29,"")</f>
        <v>1.081</v>
      </c>
      <c r="R29" s="12"/>
      <c r="S29" s="6" t="str">
        <f aca="false">IF(R29="","Not counted yet",IF(R29&gt;=50,"Scaling (50+ ads)",IF(R29&gt;=10,"Active testing (10–49)",IF(R29&gt;=1,"Low (1–9)","No live ads"))))</f>
        <v>Not counted yet</v>
      </c>
      <c r="T29" s="13" t="s">
        <v>261</v>
      </c>
      <c r="U29" s="13" t="s">
        <v>262</v>
      </c>
      <c r="V29" s="13" t="s">
        <v>263</v>
      </c>
    </row>
    <row r="30" customFormat="false" ht="15" hidden="false" customHeight="false" outlineLevel="0" collapsed="false">
      <c r="A30" s="6" t="n">
        <v>29</v>
      </c>
      <c r="B30" s="6" t="s">
        <v>240</v>
      </c>
      <c r="C30" s="6" t="s">
        <v>59</v>
      </c>
      <c r="D30" s="6" t="s">
        <v>264</v>
      </c>
      <c r="E30" s="6" t="s">
        <v>265</v>
      </c>
      <c r="F30" s="6" t="s">
        <v>83</v>
      </c>
      <c r="G30" s="6" t="s">
        <v>266</v>
      </c>
      <c r="H30" s="7" t="s">
        <v>267</v>
      </c>
      <c r="I30" s="7" t="s">
        <v>268</v>
      </c>
      <c r="J30" s="8" t="n">
        <v>125</v>
      </c>
      <c r="K30" s="6" t="s">
        <v>87</v>
      </c>
      <c r="L30" s="9" t="n">
        <f aca="false">IF(J30="","",J30*INDEX(FX!$B$5:$B$11,MATCH(K30,FX!$A$5:$A$11,0)))</f>
        <v>29.375</v>
      </c>
      <c r="M30" s="10" t="n">
        <v>90</v>
      </c>
      <c r="N30" s="10" t="n">
        <v>3</v>
      </c>
      <c r="O30" s="11" t="n">
        <f aca="false">IFERROR(M30/N30,"")</f>
        <v>30</v>
      </c>
      <c r="P30" s="9" t="n">
        <f aca="false">IFERROR(L30/M30,"")</f>
        <v>0.326388888888889</v>
      </c>
      <c r="Q30" s="9" t="n">
        <f aca="false">IFERROR(L30/O30,"")</f>
        <v>0.979166666666667</v>
      </c>
      <c r="R30" s="12"/>
      <c r="S30" s="6" t="str">
        <f aca="false">IF(R30="","Not counted yet",IF(R30&gt;=50,"Scaling (50+ ads)",IF(R30&gt;=10,"Active testing (10–49)",IF(R30&gt;=1,"Low (1–9)","No live ads"))))</f>
        <v>Not counted yet</v>
      </c>
      <c r="T30" s="13" t="s">
        <v>269</v>
      </c>
      <c r="U30" s="13" t="s">
        <v>270</v>
      </c>
      <c r="V30" s="13" t="s">
        <v>271</v>
      </c>
    </row>
  </sheetData>
  <autoFilter ref="A1:V30"/>
  <conditionalFormatting sqref="C2:C30">
    <cfRule type="expression" priority="2" aboveAverage="0" equalAverage="0" bottom="0" percent="0" rank="0" text="" dxfId="9">
      <formula>$C2="West – proof"</formula>
    </cfRule>
    <cfRule type="expression" priority="3" aboveAverage="0" equalAverage="0" bottom="0" percent="0" rank="0" text="" dxfId="10">
      <formula>$C2="CEE – competitor"</formula>
    </cfRule>
    <cfRule type="expression" priority="4" aboveAverage="0" equalAverage="0" bottom="0" percent="0" rank="0" text="" dxfId="11">
      <formula>$C2="Global trend (US)"</formula>
    </cfRule>
  </conditionalFormatting>
  <dataValidations count="1">
    <dataValidation allowBlank="true" errorStyle="stop" operator="greaterThanOrEqual" showDropDown="false" showErrorMessage="false" showInputMessage="false" sqref="R2:R30" type="whole">
      <formula1>0</formula1>
      <formula2>0</formula2>
    </dataValidation>
  </dataValidations>
  <hyperlinks>
    <hyperlink ref="H2" r:id="rId2" display="https://www.vitalabo.com/bears-with-benefits/femtastic-pms-vitamins"/>
    <hyperlink ref="I2" r:id="rId3" display="Meta ads: Bears with Benefits"/>
    <hyperlink ref="H3" r:id="rId4" display="https://www.redcare-pharmacie.fr/hygiene-et-sante/F00421412/manhae-menopause-gummies.htm"/>
    <hyperlink ref="I3" r:id="rId5" display="Meta ads: Manhaé"/>
    <hyperlink ref="H4" r:id="rId6" display="https://www.drmax.ro/menopause-gummies-manhae-60-jeleuri-vitavea"/>
    <hyperlink ref="I4" r:id="rId7" display="Meta ads: Manhaé"/>
    <hyperlink ref="H5" r:id="rId8" display="https://www.ecco-verde.co.uk/mummy-gummy/menopause-2"/>
    <hyperlink ref="I5" r:id="rId9" display="Meta ads: Mummy Gummy"/>
    <hyperlink ref="H6" r:id="rId10" display="https://ecco-verde.co.uk/mummy-gummy/pms-2"/>
    <hyperlink ref="I6" r:id="rId11" display="Meta ads: Mummy Gummy"/>
    <hyperlink ref="H7" r:id="rId12" display="https://www.notino.pl/zoe/pms-b6-kapsulki-do-wsparcia-rownowagi-hormonalnej/"/>
    <hyperlink ref="I7" r:id="rId13" display="Meta ads: ZOE PMS-B6"/>
    <hyperlink ref="H8" r:id="rId14" display="https://www.hollandandbarrett.com/shop/product/fourfive-focus-energy-lion-s-mane-4000mg-60-gummies-6100003656"/>
    <hyperlink ref="I8" r:id="rId15" display="Meta ads: fourfive"/>
    <hyperlink ref="H9" r:id="rId16" display="https://www.hollandandbarrett.com/shop/product/nutrigums-lion-s-mane-complex-60-gummies-6100017092"/>
    <hyperlink ref="I9" r:id="rId17" display="Meta ads: Nutrigums"/>
    <hyperlink ref="H10" r:id="rId18" display="https://hollandandbarrett.com/shop/product/starpowa-lion-s-mane-500mg-60-gummies-6100001690"/>
    <hyperlink ref="I10" r:id="rId19" display="Meta ads: Starpowa"/>
    <hyperlink ref="H11" r:id="rId20" display="https://www.superdrug.com/health/vitamins-supplements/multi-vitamins/new-leaf-lions-mane-gummies-with-vitamin-c-b5-60-fill/p/mp-00471066"/>
    <hyperlink ref="I11" r:id="rId21" display="Meta ads: New Leaf Products"/>
    <hyperlink ref="H12" r:id="rId22" display="https://myprotein.ie/p/sports-nutrition/mushroom-gummies-lion-s-mane-reishi/15726883"/>
    <hyperlink ref="I12" r:id="rId23" display="Meta ads: Myprotein"/>
    <hyperlink ref="H13" r:id="rId24" display="https://www.drmax.cz/kompava-memo-gummies-180-mg-60-cukrikov"/>
    <hyperlink ref="I13" r:id="rId25" display="Meta ads: Kompava"/>
    <hyperlink ref="H14" r:id="rId26" display="https://www.hollandandbarrett.com/shop/product/holland-barrett-sea-moss-apple-flavour-1000mg-60-gummies-6100022478"/>
    <hyperlink ref="I14" r:id="rId27" display="Meta ads: Holland &amp; Barrett"/>
    <hyperlink ref="H15" r:id="rId28" display="https://www.hollandandbarrett.ie/shop/product/starpowa-sea-moss-1000mg-60-gummies-6100001689"/>
    <hyperlink ref="I15" r:id="rId29" display="Meta ads: Starpowa"/>
    <hyperlink ref="H16" r:id="rId30" display="https://www.redcare-pharmacie.fr/hygiene-et-sante/F00572690/granions-shilajit.htm"/>
    <hyperlink ref="I16" r:id="rId31" display="Meta ads: Granions"/>
    <hyperlink ref="H17" r:id="rId32" display="https://www.docmorris.de/shilajit-ashwagandha-gummies-von-canitat-m/FPCPZ9TM"/>
    <hyperlink ref="I17" r:id="rId33" display="Meta ads: Canitat"/>
    <hyperlink ref="H18" r:id="rId34" display="https://www.kaufland.pl/product/539162050/"/>
    <hyperlink ref="I18" r:id="rId35" display="Meta ads: shilajit gummies"/>
    <hyperlink ref="H19" r:id="rId36" display="https://www.drmax.ro/jeleuri-de-shilajit-din-himalaya-pure-himalayan-shilajit-gummies-betteralt-60-jeleuri-gnc"/>
    <hyperlink ref="I19" r:id="rId37" display="Meta ads: BetterAlt"/>
    <hyperlink ref="H20" r:id="rId38" display="https://shop.tiktok.com/us/pdp/shilajit-gummies-with-sea-moss-ashwagandha-lion-s-mane/1731898657011568794"/>
    <hyperlink ref="I20" r:id="rId39" display="Meta ads: Clean Nutra"/>
    <hyperlink ref="H21" r:id="rId40" display="https://www.tiktokshop.com/pdp/himalayan-shilajit-gummies-by-inner-brightness-600mg-vegan-gluten-free-energy-booster/1731134527223337593"/>
    <hyperlink ref="I21" r:id="rId41" display="Meta ads: Inner Brightness"/>
    <hyperlink ref="H22" r:id="rId42" display="https://glamglobal.co.uk/products/lemme-colostrum-gummies-60-gummies-gut-health-digestion-immunity-support-with-vitamin-d3"/>
    <hyperlink ref="I22" r:id="rId43" display="Meta ads: Lemme"/>
    <hyperlink ref="H23" r:id="rId44" display="https://liveinthelight.co.uk/products/wonderhydrate-electrolyte-gummies"/>
    <hyperlink ref="I23" r:id="rId45" display="Meta ads: Plant People WonderHydrate"/>
    <hyperlink ref="H24" r:id="rId46" display="https://johnbellcroyden.co.uk/products/the-bytes-company-hydrate-bytes-60-watermelon-kiwi-gummies"/>
    <hyperlink ref="I24" r:id="rId47" display="Meta ads: Hydrate Bytes"/>
    <hyperlink ref="H25" r:id="rId48" display="https://www.dm.at/p/d/1580777/bears-with-benefits-ah-mazing-hair-vitamin-biotin-gummibaerchen"/>
    <hyperlink ref="I25" r:id="rId49" display="Meta ads: Bears with Benefits"/>
    <hyperlink ref="H26" r:id="rId50" display="https://www.manor.ch/fr/p/10002546616"/>
    <hyperlink ref="I26" r:id="rId51" display="Meta ads: Lashilé"/>
    <hyperlink ref="H27" r:id="rId52" display="https://www.hollandandbarrett.com/shop/product/strawberry-flavoured-creatine-gummies-food-supplement-with-sugar-ansd-sweetener-90-6100007176"/>
    <hyperlink ref="I27" r:id="rId53" display="Meta ads: Novomins"/>
    <hyperlink ref="H28" r:id="rId54" display="https://www.notino.pl/gymbeam/creatine-yummies-zelki-wsparcie-wydolnosci-treningowej/"/>
    <hyperlink ref="I28" r:id="rId55" display="Meta ads: GymBeam"/>
    <hyperlink ref="H29" r:id="rId56" display="https://www.mediaexpert.pl/sport-i-rekreacja/suplementy-na-silownie/kreatyna/monohydrat-kreatyny-swanson-jagodowy-poncz-120-zelek"/>
    <hyperlink ref="I29" r:id="rId57" display="Meta ads: Swanson creatine gummies"/>
    <hyperlink ref="H30" r:id="rId58" display="https://www.kaufland.pl/product/555595291/"/>
    <hyperlink ref="I30" r:id="rId59" display="Meta ads: AlphaBear creati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0"/>
  <legacy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80"/>
  </cols>
  <sheetData>
    <row r="1" customFormat="false" ht="31.5" hidden="false" customHeight="true" outlineLevel="0" collapsed="false">
      <c r="A1" s="5" t="s">
        <v>18</v>
      </c>
      <c r="B1" s="5" t="s">
        <v>272</v>
      </c>
      <c r="C1" s="5" t="s">
        <v>273</v>
      </c>
      <c r="D1" s="5" t="s">
        <v>274</v>
      </c>
      <c r="E1" s="5" t="s">
        <v>275</v>
      </c>
      <c r="F1" s="5" t="s">
        <v>276</v>
      </c>
      <c r="G1" s="5" t="s">
        <v>277</v>
      </c>
      <c r="H1" s="5" t="s">
        <v>278</v>
      </c>
    </row>
    <row r="2" customFormat="false" ht="23.85" hidden="false" customHeight="false" outlineLevel="0" collapsed="false">
      <c r="A2" s="13" t="s">
        <v>39</v>
      </c>
      <c r="B2" s="13" t="n">
        <f aca="false">COUNTIFS(Products!$B$2:$B$30,A2,Products!$C$2:$C$30,"West – proof")</f>
        <v>4</v>
      </c>
      <c r="C2" s="13" t="n">
        <f aca="false">COUNTIFS(Products!$B$2:$B$30,A2,Products!$C$2:$C$30,"CEE – competitor")</f>
        <v>2</v>
      </c>
      <c r="D2" s="14" t="n">
        <f aca="false">IFERROR(AVERAGEIFS(Products!$P$2:$P$30,Products!$B$2:$B$30,A2,Products!$C$2:$C$30,"West – proof"),"–")</f>
        <v>0.276429166666667</v>
      </c>
      <c r="E2" s="14" t="n">
        <f aca="false">IFERROR(AVERAGEIFS(Products!$P$2:$P$30,Products!$B$2:$B$30,A2,Products!$C$2:$C$30,"CEE – competitor"),"–")</f>
        <v>0.410425</v>
      </c>
      <c r="F2" s="13" t="str">
        <f aca="false">IF(COUNTIFS(Products!$B$2:$B$30,A2,Products!$R$2:$R$30,"&lt;&gt;")=0,"Not counted yet",SUMIFS(Products!$R$2:$R$30,Products!$B$2:$B$30,A2))</f>
        <v>Not counted yet</v>
      </c>
      <c r="G2" s="15" t="s">
        <v>279</v>
      </c>
      <c r="H2" s="13" t="s">
        <v>280</v>
      </c>
    </row>
    <row r="3" customFormat="false" ht="15" hidden="false" customHeight="false" outlineLevel="0" collapsed="false">
      <c r="A3" s="13" t="s">
        <v>90</v>
      </c>
      <c r="B3" s="13" t="n">
        <f aca="false">COUNTIFS(Products!$B$2:$B$30,A3,Products!$C$2:$C$30,"West – proof")</f>
        <v>5</v>
      </c>
      <c r="C3" s="13" t="n">
        <f aca="false">COUNTIFS(Products!$B$2:$B$30,A3,Products!$C$2:$C$30,"CEE – competitor")</f>
        <v>1</v>
      </c>
      <c r="D3" s="14" t="n">
        <f aca="false">IFERROR(AVERAGEIFS(Products!$P$2:$P$30,Products!$B$2:$B$30,A3,Products!$C$2:$C$30,"West – proof"),"–")</f>
        <v>0.39936</v>
      </c>
      <c r="E3" s="14" t="str">
        <f aca="false">IFERROR(AVERAGEIFS(Products!$P$2:$P$30,Products!$B$2:$B$30,A3,Products!$C$2:$C$30,"CEE – competitor"),"–")</f>
        <v>–</v>
      </c>
      <c r="F3" s="13" t="str">
        <f aca="false">IF(COUNTIFS(Products!$B$2:$B$30,A3,Products!$R$2:$R$30,"&lt;&gt;")=0,"Not counted yet",SUMIFS(Products!$R$2:$R$30,Products!$B$2:$B$30,A3))</f>
        <v>Not counted yet</v>
      </c>
      <c r="G3" s="15" t="s">
        <v>281</v>
      </c>
      <c r="H3" s="13" t="s">
        <v>282</v>
      </c>
    </row>
    <row r="4" customFormat="false" ht="15" hidden="false" customHeight="false" outlineLevel="0" collapsed="false">
      <c r="A4" s="13" t="s">
        <v>135</v>
      </c>
      <c r="B4" s="13" t="n">
        <f aca="false">COUNTIFS(Products!$B$2:$B$30,A4,Products!$C$2:$C$30,"West – proof")</f>
        <v>2</v>
      </c>
      <c r="C4" s="13" t="n">
        <f aca="false">COUNTIFS(Products!$B$2:$B$30,A4,Products!$C$2:$C$30,"CEE – competitor")</f>
        <v>0</v>
      </c>
      <c r="D4" s="14" t="n">
        <f aca="false">IFERROR(AVERAGEIFS(Products!$P$2:$P$30,Products!$B$2:$B$30,A4,Products!$C$2:$C$30,"West – proof"),"–")</f>
        <v>0.360555</v>
      </c>
      <c r="E4" s="14" t="str">
        <f aca="false">IFERROR(AVERAGEIFS(Products!$P$2:$P$30,Products!$B$2:$B$30,A4,Products!$C$2:$C$30,"CEE – competitor"),"–")</f>
        <v>–</v>
      </c>
      <c r="F4" s="13" t="str">
        <f aca="false">IF(COUNTIFS(Products!$B$2:$B$30,A4,Products!$R$2:$R$30,"&lt;&gt;")=0,"Not counted yet",SUMIFS(Products!$R$2:$R$30,Products!$B$2:$B$30,A4))</f>
        <v>Not counted yet</v>
      </c>
      <c r="G4" s="15" t="s">
        <v>281</v>
      </c>
      <c r="H4" s="13" t="s">
        <v>283</v>
      </c>
    </row>
    <row r="5" customFormat="false" ht="15" hidden="false" customHeight="false" outlineLevel="0" collapsed="false">
      <c r="A5" s="13" t="s">
        <v>148</v>
      </c>
      <c r="B5" s="13" t="n">
        <f aca="false">COUNTIFS(Products!$B$2:$B$30,A5,Products!$C$2:$C$30,"West – proof")</f>
        <v>2</v>
      </c>
      <c r="C5" s="13" t="n">
        <f aca="false">COUNTIFS(Products!$B$2:$B$30,A5,Products!$C$2:$C$30,"CEE – competitor")</f>
        <v>2</v>
      </c>
      <c r="D5" s="14" t="n">
        <f aca="false">IFERROR(AVERAGEIFS(Products!$P$2:$P$30,Products!$B$2:$B$30,A5,Products!$C$2:$C$30,"West – proof"),"–")</f>
        <v>0.3115</v>
      </c>
      <c r="E5" s="14" t="n">
        <f aca="false">IFERROR(AVERAGEIFS(Products!$P$2:$P$30,Products!$B$2:$B$30,A5,Products!$C$2:$C$30,"CEE – competitor"),"–")</f>
        <v>0.860414166666667</v>
      </c>
      <c r="F5" s="13" t="str">
        <f aca="false">IF(COUNTIFS(Products!$B$2:$B$30,A5,Products!$R$2:$R$30,"&lt;&gt;")=0,"Not counted yet",SUMIFS(Products!$R$2:$R$30,Products!$B$2:$B$30,A5))</f>
        <v>Not counted yet</v>
      </c>
      <c r="G5" s="15" t="s">
        <v>284</v>
      </c>
      <c r="H5" s="13" t="s">
        <v>285</v>
      </c>
    </row>
    <row r="6" customFormat="false" ht="15" hidden="false" customHeight="false" outlineLevel="0" collapsed="false">
      <c r="A6" s="13" t="s">
        <v>197</v>
      </c>
      <c r="B6" s="13" t="n">
        <f aca="false">COUNTIFS(Products!$B$2:$B$30,A6,Products!$C$2:$C$30,"West – proof")</f>
        <v>1</v>
      </c>
      <c r="C6" s="13" t="n">
        <f aca="false">COUNTIFS(Products!$B$2:$B$30,A6,Products!$C$2:$C$30,"CEE – competitor")</f>
        <v>0</v>
      </c>
      <c r="D6" s="14" t="str">
        <f aca="false">IFERROR(AVERAGEIFS(Products!$P$2:$P$30,Products!$B$2:$B$30,A6,Products!$C$2:$C$30,"West – proof"),"–")</f>
        <v>–</v>
      </c>
      <c r="E6" s="14" t="str">
        <f aca="false">IFERROR(AVERAGEIFS(Products!$P$2:$P$30,Products!$B$2:$B$30,A6,Products!$C$2:$C$30,"CEE – competitor"),"–")</f>
        <v>–</v>
      </c>
      <c r="F6" s="13" t="str">
        <f aca="false">IF(COUNTIFS(Products!$B$2:$B$30,A6,Products!$R$2:$R$30,"&lt;&gt;")=0,"Not counted yet",SUMIFS(Products!$R$2:$R$30,Products!$B$2:$B$30,A6))</f>
        <v>Not counted yet</v>
      </c>
      <c r="G6" s="15" t="s">
        <v>286</v>
      </c>
      <c r="H6" s="13" t="s">
        <v>287</v>
      </c>
    </row>
    <row r="7" customFormat="false" ht="15" hidden="false" customHeight="false" outlineLevel="0" collapsed="false">
      <c r="A7" s="13" t="s">
        <v>207</v>
      </c>
      <c r="B7" s="13" t="n">
        <f aca="false">COUNTIFS(Products!$B$2:$B$30,A7,Products!$C$2:$C$30,"West – proof")</f>
        <v>2</v>
      </c>
      <c r="C7" s="13" t="n">
        <f aca="false">COUNTIFS(Products!$B$2:$B$30,A7,Products!$C$2:$C$30,"CEE – competitor")</f>
        <v>0</v>
      </c>
      <c r="D7" s="14" t="n">
        <f aca="false">IFERROR(AVERAGEIFS(Products!$P$2:$P$30,Products!$B$2:$B$30,A7,Products!$C$2:$C$30,"West – proof"),"–")</f>
        <v>0.682778571428572</v>
      </c>
      <c r="E7" s="14" t="str">
        <f aca="false">IFERROR(AVERAGEIFS(Products!$P$2:$P$30,Products!$B$2:$B$30,A7,Products!$C$2:$C$30,"CEE – competitor"),"–")</f>
        <v>–</v>
      </c>
      <c r="F7" s="13" t="str">
        <f aca="false">IF(COUNTIFS(Products!$B$2:$B$30,A7,Products!$R$2:$R$30,"&lt;&gt;")=0,"Not counted yet",SUMIFS(Products!$R$2:$R$30,Products!$B$2:$B$30,A7))</f>
        <v>Not counted yet</v>
      </c>
      <c r="G7" s="15" t="s">
        <v>286</v>
      </c>
      <c r="H7" s="13" t="s">
        <v>288</v>
      </c>
    </row>
    <row r="8" customFormat="false" ht="15" hidden="false" customHeight="false" outlineLevel="0" collapsed="false">
      <c r="A8" s="13" t="s">
        <v>223</v>
      </c>
      <c r="B8" s="13" t="n">
        <f aca="false">COUNTIFS(Products!$B$2:$B$30,A8,Products!$C$2:$C$30,"West – proof")</f>
        <v>2</v>
      </c>
      <c r="C8" s="13" t="n">
        <f aca="false">COUNTIFS(Products!$B$2:$B$30,A8,Products!$C$2:$C$30,"CEE – competitor")</f>
        <v>0</v>
      </c>
      <c r="D8" s="14" t="n">
        <f aca="false">IFERROR(AVERAGEIFS(Products!$P$2:$P$30,Products!$B$2:$B$30,A8,Products!$C$2:$C$30,"West – proof"),"–")</f>
        <v>0.468276388888889</v>
      </c>
      <c r="E8" s="14" t="str">
        <f aca="false">IFERROR(AVERAGEIFS(Products!$P$2:$P$30,Products!$B$2:$B$30,A8,Products!$C$2:$C$30,"CEE – competitor"),"–")</f>
        <v>–</v>
      </c>
      <c r="F8" s="13" t="str">
        <f aca="false">IF(COUNTIFS(Products!$B$2:$B$30,A8,Products!$R$2:$R$30,"&lt;&gt;")=0,"Not counted yet",SUMIFS(Products!$R$2:$R$30,Products!$B$2:$B$30,A8))</f>
        <v>Not counted yet</v>
      </c>
      <c r="G8" s="15" t="s">
        <v>289</v>
      </c>
      <c r="H8" s="13" t="s">
        <v>290</v>
      </c>
    </row>
    <row r="9" customFormat="false" ht="15" hidden="false" customHeight="false" outlineLevel="0" collapsed="false">
      <c r="A9" s="13" t="s">
        <v>240</v>
      </c>
      <c r="B9" s="13" t="n">
        <f aca="false">COUNTIFS(Products!$B$2:$B$30,A9,Products!$C$2:$C$30,"West – proof")</f>
        <v>1</v>
      </c>
      <c r="C9" s="13" t="n">
        <f aca="false">COUNTIFS(Products!$B$2:$B$30,A9,Products!$C$2:$C$30,"CEE – competitor")</f>
        <v>3</v>
      </c>
      <c r="D9" s="14" t="n">
        <f aca="false">IFERROR(AVERAGEIFS(Products!$P$2:$P$30,Products!$B$2:$B$30,A9,Products!$C$2:$C$30,"West – proof"),"–")</f>
        <v>0.32487</v>
      </c>
      <c r="E9" s="14" t="n">
        <f aca="false">IFERROR(AVERAGEIFS(Products!$P$2:$P$30,Products!$B$2:$B$30,A9,Products!$C$2:$C$30,"CEE – competitor"),"–")</f>
        <v>0.271294444444444</v>
      </c>
      <c r="F9" s="13" t="str">
        <f aca="false">IF(COUNTIFS(Products!$B$2:$B$30,A9,Products!$R$2:$R$30,"&lt;&gt;")=0,"Not counted yet",SUMIFS(Products!$R$2:$R$30,Products!$B$2:$B$30,A9))</f>
        <v>Not counted yet</v>
      </c>
      <c r="G9" s="15" t="s">
        <v>291</v>
      </c>
      <c r="H9" s="13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6" t="s">
        <v>293</v>
      </c>
    </row>
    <row r="2" customFormat="false" ht="15" hidden="false" customHeight="false" outlineLevel="0" collapsed="false">
      <c r="A2" s="17" t="s">
        <v>294</v>
      </c>
    </row>
    <row r="4" customFormat="false" ht="15" hidden="false" customHeight="false" outlineLevel="0" collapsed="false">
      <c r="A4" s="18" t="s">
        <v>27</v>
      </c>
      <c r="B4" s="18" t="s">
        <v>295</v>
      </c>
    </row>
    <row r="5" customFormat="false" ht="15" hidden="false" customHeight="false" outlineLevel="0" collapsed="false">
      <c r="A5" s="19" t="s">
        <v>47</v>
      </c>
      <c r="B5" s="20" t="n">
        <v>1</v>
      </c>
    </row>
    <row r="6" customFormat="false" ht="15" hidden="false" customHeight="false" outlineLevel="0" collapsed="false">
      <c r="A6" s="19" t="s">
        <v>73</v>
      </c>
      <c r="B6" s="20" t="n">
        <v>1.17</v>
      </c>
    </row>
    <row r="7" customFormat="false" ht="15" hidden="false" customHeight="false" outlineLevel="0" collapsed="false">
      <c r="A7" s="19" t="s">
        <v>236</v>
      </c>
      <c r="B7" s="20" t="n">
        <v>1.07</v>
      </c>
    </row>
    <row r="8" customFormat="false" ht="15" hidden="false" customHeight="false" outlineLevel="0" collapsed="false">
      <c r="A8" s="19" t="s">
        <v>187</v>
      </c>
      <c r="B8" s="20" t="n">
        <v>0.92</v>
      </c>
    </row>
    <row r="9" customFormat="false" ht="15" hidden="false" customHeight="false" outlineLevel="0" collapsed="false">
      <c r="A9" s="19" t="s">
        <v>87</v>
      </c>
      <c r="B9" s="20" t="n">
        <v>0.235</v>
      </c>
    </row>
    <row r="10" customFormat="false" ht="15" hidden="false" customHeight="false" outlineLevel="0" collapsed="false">
      <c r="A10" s="19" t="s">
        <v>64</v>
      </c>
      <c r="B10" s="20" t="n">
        <v>0.2</v>
      </c>
    </row>
    <row r="11" customFormat="false" ht="15" hidden="false" customHeight="false" outlineLevel="0" collapsed="false">
      <c r="A11" s="19" t="s">
        <v>296</v>
      </c>
      <c r="B11" s="20" t="n">
        <v>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2026-10-04T11:41:25Z</dcterms:created>
  <dc:creator>openpyxl</dc:creator>
  <dc:description/>
  <dc:language>en-US</dc:language>
  <cp:lastModifiedBy/>
  <dcterms:modified xsi:type="dcterms:W3CDTF">2026-10-04T11:41:25Z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
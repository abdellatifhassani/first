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Products" sheetId="2" state="visible" r:id="rId4"/>
    <sheet name="Summary" sheetId="3" state="visible" r:id="rId5"/>
    <sheet name="FX" sheetId="4" state="visible" r:id="rId6"/>
  </sheets>
  <definedNames>
    <definedName function="false" hidden="true" localSheetId="1" name="_xlnm._FilterDatabase" vbProcedure="false">Products!$A$2:$AJ$21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" authorId="0">
      <text>
        <r>
          <rPr>
            <sz val="10"/>
            <rFont val="Arial"/>
            <family val="2"/>
          </rPr>
          <t xml:space="preserve">Active ads in Meta Ad Library (all countries) whose text contains the exact phrase in 'Ad search'. Collected 4 Oct 2026. Includes resellers' and affiliates' ads that mention the brand. Meta shows rounded figures ('~620'); '&gt;50,000' is stored as 50,000.</t>
        </r>
      </text>
    </comment>
    <comment ref="K2" authorId="0">
      <text>
        <r>
          <rPr>
            <sz val="10"/>
            <rFont val="Arial"/>
            <family val="2"/>
          </rPr>
          <t xml:space="preserve">Sum of the per-country counts for BG, GR, RO, PL, HU, SI, SK, HR, CZ. An ad shown in several of these countries is counted once per country.</t>
        </r>
      </text>
    </comment>
    <comment ref="AD2" authorId="0">
      <text>
        <r>
          <rPr>
            <sz val="10"/>
            <rFont val="Arial"/>
            <family val="2"/>
          </rPr>
          <t xml:space="preserve">For 'None found' rows this counts the category keyword in English (e.g. "sea moss") across your 9 countries. Local-language ads that don't use the English term are not counted.</t>
        </r>
      </text>
    </comment>
  </commentList>
</comments>
</file>

<file path=xl/sharedStrings.xml><?xml version="1.0" encoding="utf-8"?>
<sst xmlns="http://schemas.openxmlformats.org/spreadsheetml/2006/main" count="538" uniqueCount="286">
  <si>
    <t xml:space="preserve">How to use this file</t>
  </si>
  <si>
    <t xml:space="preserve">One row = one product that sells well in Western Europe. The red section on the right of the same row shows its competitor in your 9 countries.</t>
  </si>
  <si>
    <t xml:space="preserve">Green 'None found' in the competitor column = no gummy competitor found in your markets (the opening).</t>
  </si>
  <si>
    <t xml:space="preserve">Colour legend</t>
  </si>
  <si>
    <t xml:space="preserve">Yellow cells = edit these (FX rates).</t>
  </si>
  <si>
    <t xml:space="preserve">Blue text = numbers collected from retailer listings and Meta Ad Library (prices, pack sizes, ad counts).</t>
  </si>
  <si>
    <t xml:space="preserve">Black text = formulas; don't overwrite.</t>
  </si>
  <si>
    <t xml:space="preserve">Meta ad counts (collected 4 Oct 2026)</t>
  </si>
  <si>
    <t xml:space="preserve">'Live Meta ads – worldwide' = active ads in Meta Ad Library, all countries, whose text contains the exact phrase shown in 'Ad search'.</t>
  </si>
  <si>
    <t xml:space="preserve">Counts include ads by resellers, pharmacies and affiliates that mention the brand, not just the brand's own page. 'Top advertisers' shows who runs them.</t>
  </si>
  <si>
    <t xml:space="preserve">'Your 9 countries' = per-country counts for BG, GR, RO, PL, HU, SI, SK, HR, CZ, added up (an ad shown in 3 of them counts 3 times).</t>
  </si>
  <si>
    <t xml:space="preserve">Category keywords (e.g. "sea moss") are in English, so local-language ads that don't use the English term are missed.</t>
  </si>
  <si>
    <t xml:space="preserve">Ads signal: 50+ = scaling, 10–49 = testing, 1–9 = low.</t>
  </si>
  <si>
    <t xml:space="preserve">Click any 'Meta ads: …' link to open the same search live and re-check the number.</t>
  </si>
  <si>
    <t xml:space="preserve">Limitations</t>
  </si>
  <si>
    <t xml:space="preserve">Prices collected 4 Oct 2026 from retailer listings found through web search. Promotions change often.</t>
  </si>
  <si>
    <t xml:space="preserve">Meta shows rounded counts ('~620'); '&gt;50,000' is stored as 50,000.</t>
  </si>
  <si>
    <t xml:space="preserve">Blank price = the price wasn't visible in search results; open the link to check.</t>
  </si>
  <si>
    <t xml:space="preserve">YOUR TARGET PRODUCT – selling well in Western Europe</t>
  </si>
  <si>
    <t xml:space="preserve">COMPETITION IN BG · GR · RO · PL · HU · SI · SK · HR · CZ</t>
  </si>
  <si>
    <t xml:space="preserve">#</t>
  </si>
  <si>
    <t xml:space="preserve">Category</t>
  </si>
  <si>
    <t xml:space="preserve">Brand</t>
  </si>
  <si>
    <t xml:space="preserve">Product</t>
  </si>
  <si>
    <t xml:space="preserve">Market</t>
  </si>
  <si>
    <t xml:space="preserve">Retailer</t>
  </si>
  <si>
    <t xml:space="preserve">Product link</t>
  </si>
  <si>
    <t xml:space="preserve">Meta Ad Library (worldwide)</t>
  </si>
  <si>
    <t xml:space="preserve">Live Meta ads – worldwide</t>
  </si>
  <si>
    <t xml:space="preserve">Ads signal</t>
  </si>
  <si>
    <t xml:space="preserve">Live Meta ads – your 9 countries</t>
  </si>
  <si>
    <t xml:space="preserve">Ads by country (your 9)</t>
  </si>
  <si>
    <t xml:space="preserve">Top advertisers</t>
  </si>
  <si>
    <t xml:space="preserve">Ad search (exact phrase)</t>
  </si>
  <si>
    <t xml:space="preserve">Price (local)</t>
  </si>
  <si>
    <t xml:space="preserve">Currency</t>
  </si>
  <si>
    <t xml:space="preserve">Price (EUR)</t>
  </si>
  <si>
    <t xml:space="preserve">Pack size</t>
  </si>
  <si>
    <t xml:space="preserve">Price / gummy (EUR)</t>
  </si>
  <si>
    <t xml:space="preserve">Key ingredients</t>
  </si>
  <si>
    <t xml:space="preserve">Owner</t>
  </si>
  <si>
    <t xml:space="preserve">Competitor in your 9 countries</t>
  </si>
  <si>
    <t xml:space="preserve">Competitor link</t>
  </si>
  <si>
    <t xml:space="preserve">Competitor live Meta ads – your 9</t>
  </si>
  <si>
    <t xml:space="preserve">Competitor ads by country</t>
  </si>
  <si>
    <t xml:space="preserve">Competitor ad search (exact phrase)</t>
  </si>
  <si>
    <t xml:space="preserve">Meta Ad Library (competitor market)</t>
  </si>
  <si>
    <t xml:space="preserve">Other competitors</t>
  </si>
  <si>
    <t xml:space="preserve">Verdict</t>
  </si>
  <si>
    <t xml:space="preserve">Notes</t>
  </si>
  <si>
    <t xml:space="preserve">Women's hormone</t>
  </si>
  <si>
    <t xml:space="preserve">Bears with Benefits</t>
  </si>
  <si>
    <t xml:space="preserve">Femtastic PMS Vitamins</t>
  </si>
  <si>
    <t xml:space="preserve">DE</t>
  </si>
  <si>
    <t xml:space="preserve">Vitalabo</t>
  </si>
  <si>
    <t xml:space="preserve">Open product</t>
  </si>
  <si>
    <t xml:space="preserve">Meta ads: Bears with Benefits</t>
  </si>
  <si>
    <t xml:space="preserve">0 in all 9</t>
  </si>
  <si>
    <t xml:space="preserve">Bears with Benefits Italia, Best Beauty Deals, Bears with Benefits España</t>
  </si>
  <si>
    <t xml:space="preserve">"Bears with Benefits"</t>
  </si>
  <si>
    <t xml:space="preserve">EUR</t>
  </si>
  <si>
    <t xml:space="preserve">Vitamin B6, chasteberry, lemon balm, dong quai</t>
  </si>
  <si>
    <t xml:space="preserve">Havea Group (FR)</t>
  </si>
  <si>
    <t xml:space="preserve">ZOE PMS-B6 – capsules, no gummy</t>
  </si>
  <si>
    <t xml:space="preserve">PL</t>
  </si>
  <si>
    <t xml:space="preserve">Open competitor</t>
  </si>
  <si>
    <t xml:space="preserve">PLN</t>
  </si>
  <si>
    <t xml:space="preserve">HR 1</t>
  </si>
  <si>
    <t xml:space="preserve">"PMS-B6"</t>
  </si>
  <si>
    <t xml:space="preserve">Meta ads: PMS-B6 (PL)</t>
  </si>
  <si>
    <t xml:space="preserve">—</t>
  </si>
  <si>
    <t xml:space="preserve">BEST OPPORTUNITY</t>
  </si>
  <si>
    <t xml:space="preserve">Europe's gummy market leader within 4 years of its 2018 founding. Sold in DE/AT/CH/IT/FR/ES/NL/UK, not in any of your 9 countries. Out of stock at Vitalabo, so no price.</t>
  </si>
  <si>
    <t xml:space="preserve">Mummy Gummy</t>
  </si>
  <si>
    <t xml:space="preserve">PMS</t>
  </si>
  <si>
    <t xml:space="preserve">UK</t>
  </si>
  <si>
    <t xml:space="preserve">ecco-verde UK</t>
  </si>
  <si>
    <t xml:space="preserve">Meta ads: Mummy Gummy</t>
  </si>
  <si>
    <t xml:space="preserve">"Mummy Gummy"</t>
  </si>
  <si>
    <t xml:space="preserve">GBP</t>
  </si>
  <si>
    <t xml:space="preserve">PMS blend</t>
  </si>
  <si>
    <t xml:space="preserve">Independent (UK)</t>
  </si>
  <si>
    <t xml:space="preserve">Price not shown in search results; check the link.</t>
  </si>
  <si>
    <t xml:space="preserve">Manhaé (Vitavea)</t>
  </si>
  <si>
    <t xml:space="preserve">Ménopause Gummies</t>
  </si>
  <si>
    <t xml:space="preserve">FR</t>
  </si>
  <si>
    <t xml:space="preserve">Redcare Pharmacie</t>
  </si>
  <si>
    <t xml:space="preserve">Meta ads: Manhaé</t>
  </si>
  <si>
    <t xml:space="preserve">RO 4</t>
  </si>
  <si>
    <t xml:space="preserve">Vitavea Romania, Bác Sĩ Hoàng Thu Trang, Dược Sĩ Trà</t>
  </si>
  <si>
    <t xml:space="preserve">"Manhaé"</t>
  </si>
  <si>
    <t xml:space="preserve">Pollen extract, vitamin E, B2 (hormone-free)</t>
  </si>
  <si>
    <t xml:space="preserve">Manhaé Menopause Gummies (imported)</t>
  </si>
  <si>
    <t xml:space="preserve">RO</t>
  </si>
  <si>
    <t xml:space="preserve">RON</t>
  </si>
  <si>
    <t xml:space="preserve">Meta ads: Manhaé (RO)</t>
  </si>
  <si>
    <t xml:space="preserve">Same owner as Bears with Benefits. In your markets, only Romania has it (one imported product). Meta: Havea's 'Vitavea Romania' page runs ~4 ads in RO, so the owner of Manhaé and Bears with Benefits is already active in Romania.</t>
  </si>
  <si>
    <t xml:space="preserve">Menopause</t>
  </si>
  <si>
    <t xml:space="preserve">Angelica, chasteberry, lemon balm, vitamin B6</t>
  </si>
  <si>
    <t xml:space="preserve">Lion's mane</t>
  </si>
  <si>
    <t xml:space="preserve">fourfive</t>
  </si>
  <si>
    <t xml:space="preserve">Focus &amp; Energy Lion's Mane 4000mg</t>
  </si>
  <si>
    <t xml:space="preserve">Holland &amp; Barrett</t>
  </si>
  <si>
    <t xml:space="preserve">Meta ads: fourfive</t>
  </si>
  <si>
    <t xml:space="preserve">BG 6 · GR 12 · RO 7 · PL 12 · HU 7 · SI 4 · SK 6 · HR 9 · CZ 11</t>
  </si>
  <si>
    <t xml:space="preserve">Fourfive, Scuffers, TD</t>
  </si>
  <si>
    <t xml:space="preserve">"fourfive"</t>
  </si>
  <si>
    <t xml:space="preserve">Lion's mane 4000mg equivalent</t>
  </si>
  <si>
    <t xml:space="preserve">Kompava Memo Gummies</t>
  </si>
  <si>
    <t xml:space="preserve">CZ / SK</t>
  </si>
  <si>
    <t xml:space="preserve">PL 16 · SK 50 · CZ 25</t>
  </si>
  <si>
    <t xml:space="preserve">"Kompava"</t>
  </si>
  <si>
    <t xml:space="preserve">Meta ads: Kompava (CZ)</t>
  </si>
  <si>
    <t xml:space="preserve">STRONG</t>
  </si>
  <si>
    <t xml:space="preserve">IE site: £21.10 (was £31.50). Meta: the ads counted in your 9 countries are mostly by Scuffers (an unrelated clothing brand), not fourfive.</t>
  </si>
  <si>
    <t xml:space="preserve">Nutrigums</t>
  </si>
  <si>
    <t xml:space="preserve">Lion's Mane Complex</t>
  </si>
  <si>
    <t xml:space="preserve">Meta ads: Nutrigums</t>
  </si>
  <si>
    <t xml:space="preserve">"Nutrigums"</t>
  </si>
  <si>
    <t xml:space="preserve">Lion's mane complex, vegan</t>
  </si>
  <si>
    <t xml:space="preserve">Starpowa</t>
  </si>
  <si>
    <t xml:space="preserve">Lion's Mane 500mg</t>
  </si>
  <si>
    <t xml:space="preserve">Meta ads: Starpowa</t>
  </si>
  <si>
    <t xml:space="preserve">STARPOWA, I am Nikki Mascaro with STARPOWA</t>
  </si>
  <si>
    <t xml:space="preserve">"Starpowa"</t>
  </si>
  <si>
    <t xml:space="preserve">Lion's mane 500mg</t>
  </si>
  <si>
    <t xml:space="preserve">New Leaf</t>
  </si>
  <si>
    <t xml:space="preserve">Lions Mane + Vit C &amp; B5</t>
  </si>
  <si>
    <t xml:space="preserve">Superdrug</t>
  </si>
  <si>
    <t xml:space="preserve">Meta ads: New Leaf Products</t>
  </si>
  <si>
    <t xml:space="preserve">New-Leaf-Products.com, DailyDose Wellness ZW</t>
  </si>
  <si>
    <t xml:space="preserve">"New Leaf Products"</t>
  </si>
  <si>
    <t xml:space="preserve">Lion's mane, vitamin C, B5</t>
  </si>
  <si>
    <t xml:space="preserve">Made in the UK.</t>
  </si>
  <si>
    <t xml:space="preserve">Myvitamins (Myprotein)</t>
  </si>
  <si>
    <t xml:space="preserve">Lion's Mane Gummies</t>
  </si>
  <si>
    <t xml:space="preserve">UK / EU</t>
  </si>
  <si>
    <t xml:space="preserve">Myprotein IE</t>
  </si>
  <si>
    <t xml:space="preserve">Meta ads: Myvitamins</t>
  </si>
  <si>
    <t xml:space="preserve">BG 1 · GR 1 · RO 9 · CZ 2</t>
  </si>
  <si>
    <t xml:space="preserve">Myprotein, Herbora.lt, Myvitamins</t>
  </si>
  <si>
    <t xml:space="preserve">"Myvitamins"</t>
  </si>
  <si>
    <t xml:space="preserve">Lion's mane extract 500mg + zinc</t>
  </si>
  <si>
    <t xml:space="preserve">THG (UK)</t>
  </si>
  <si>
    <t xml:space="preserve">RRP. Myprotein ships EU-wide, so it could compete cross-border. Meta: a few Myvitamins ads from resellers in RO, BG, GR, CZ.</t>
  </si>
  <si>
    <t xml:space="preserve">Sea moss</t>
  </si>
  <si>
    <t xml:space="preserve">Sea Moss Apple 1000mg</t>
  </si>
  <si>
    <t xml:space="preserve">Meta ads: sea moss gummies</t>
  </si>
  <si>
    <t xml:space="preserve">BG 1 · GR 1 · RO 1 · PL 1 · HU 1 · SI 1 · SK 1 · HR 1 · CZ 1</t>
  </si>
  <si>
    <t xml:space="preserve">True Sea Moss Health, Dr. Alina Marlowe - ENT Specialist, CGIGreen Sea Moss</t>
  </si>
  <si>
    <t xml:space="preserve">"sea moss gummies"  (category keyword)</t>
  </si>
  <si>
    <t xml:space="preserve">Sea moss 1000mg</t>
  </si>
  <si>
    <t xml:space="preserve">Holland &amp; Barrett (own label)</t>
  </si>
  <si>
    <t xml:space="preserve">None found</t>
  </si>
  <si>
    <t xml:space="preserve">BG 130 · GR 150 · RO 54 · PL 160 · HU 130 · SI 140 · SK 140 · HR 78 · CZ 170</t>
  </si>
  <si>
    <t xml:space="preserve">"sea moss"  (category keyword)</t>
  </si>
  <si>
    <t xml:space="preserve">Meta ads: sea moss (PL)</t>
  </si>
  <si>
    <t xml:space="preserve">H&amp;B named sea moss its best-selling product of the year. Buy-1-get-1-free offer. Watch the iodine per serving.</t>
  </si>
  <si>
    <t xml:space="preserve">Cleanse Sea Moss 1000mg</t>
  </si>
  <si>
    <t xml:space="preserve">IE</t>
  </si>
  <si>
    <t xml:space="preserve">Holland &amp; Barrett IE</t>
  </si>
  <si>
    <t xml:space="preserve">Sea moss 1000mg, vegan</t>
  </si>
  <si>
    <t xml:space="preserve">Sale price; RRP £39.99.</t>
  </si>
  <si>
    <t xml:space="preserve">Shilajit</t>
  </si>
  <si>
    <t xml:space="preserve">Granions</t>
  </si>
  <si>
    <t xml:space="preserve">Shilajit Gummies 800mg</t>
  </si>
  <si>
    <t xml:space="preserve">Meta ads: Granions</t>
  </si>
  <si>
    <t xml:space="preserve">RO 3 · HR 2</t>
  </si>
  <si>
    <t xml:space="preserve">Femme.NordX, Pharmashopdiscount parapharmacie discount en ligne, Granions Romania</t>
  </si>
  <si>
    <t xml:space="preserve">"Granions"</t>
  </si>
  <si>
    <t xml:space="preserve">Shilajit 800mg, ashwagandha, zinc, B6, B12</t>
  </si>
  <si>
    <t xml:space="preserve">Laboratoire des Granions (FR)</t>
  </si>
  <si>
    <t xml:space="preserve">Unbranded Shilajit Gummies (marketplace)</t>
  </si>
  <si>
    <t xml:space="preserve">PL / CZ</t>
  </si>
  <si>
    <t xml:space="preserve">BG 620 · GR 870 · RO 940 · PL 790 · HU 1,800 · SI 620 · SK 1,400 · HR 350 · CZ 690</t>
  </si>
  <si>
    <t xml:space="preserve">"shilajit"  (category keyword)</t>
  </si>
  <si>
    <t xml:space="preserve">Meta ads: shilajit (PL)</t>
  </si>
  <si>
    <t xml:space="preserve">GNC BetterAlt Shilajit Gummies, RO (Dr.Max), 374.99 RON / 60 (≈ €75)</t>
  </si>
  <si>
    <t xml:space="preserve">GOOD – price gap</t>
  </si>
  <si>
    <t xml:space="preserve">Contains ashwagandha, which is restricted in some EU states. US TikTok Shop benchmark: Clean Nutra shilajit gummies, 1.6M units sold. Meta: 'Granions Romania' runs ~3 ads in RO; a Croatian pharmacy runs ~2 in HR.</t>
  </si>
  <si>
    <t xml:space="preserve">Canitat</t>
  </si>
  <si>
    <t xml:space="preserve">Shilajit &amp; Ashwagandha Gummies</t>
  </si>
  <si>
    <t xml:space="preserve">DocMorris</t>
  </si>
  <si>
    <t xml:space="preserve">Meta ads: Canitat</t>
  </si>
  <si>
    <t xml:space="preserve">"Canitat"</t>
  </si>
  <si>
    <t xml:space="preserve">Shilajit 1000mg + ashwagandha 500mg per 2 gummies</t>
  </si>
  <si>
    <t xml:space="preserve">Independent (DE)</t>
  </si>
  <si>
    <t xml:space="preserve">Colostrum</t>
  </si>
  <si>
    <t xml:space="preserve">Lemme</t>
  </si>
  <si>
    <t xml:space="preserve">Colostrum Gummies</t>
  </si>
  <si>
    <t xml:space="preserve">UK (import)</t>
  </si>
  <si>
    <t xml:space="preserve">GlamGlobal UK</t>
  </si>
  <si>
    <t xml:space="preserve">Meta ads: Lemme Colostrum</t>
  </si>
  <si>
    <t xml:space="preserve">Styleup Beauty and Skincare</t>
  </si>
  <si>
    <t xml:space="preserve">"Lemme Colostrum"</t>
  </si>
  <si>
    <t xml:space="preserve">Colostrum isolate + vitamin D3</t>
  </si>
  <si>
    <t xml:space="preserve">Lemme (US)</t>
  </si>
  <si>
    <t xml:space="preserve">BG 130 · GR 150 · RO 54 · PL 470 · HU 130 · SI 120 · SK 29 · HR 130 · CZ 160</t>
  </si>
  <si>
    <t xml:space="preserve">"colostrum"  (category keyword)</t>
  </si>
  <si>
    <t xml:space="preserve">Meta ads: colostrum (PL)</t>
  </si>
  <si>
    <t xml:space="preserve">EARLY BET</t>
  </si>
  <si>
    <t xml:space="preserve">Early trend. In PL, colostrum sells only as capsules and powder. Price not shown in search results.</t>
  </si>
  <si>
    <t xml:space="preserve">Electrolyte</t>
  </si>
  <si>
    <t xml:space="preserve">Plant People</t>
  </si>
  <si>
    <t xml:space="preserve">WonderHydrate Electrolyte Gummies</t>
  </si>
  <si>
    <t xml:space="preserve">Live in the Light</t>
  </si>
  <si>
    <t xml:space="preserve">Meta ads: WonderHydrate</t>
  </si>
  <si>
    <t xml:space="preserve">Plant People, Plant People with Cassidy Rhodes</t>
  </si>
  <si>
    <t xml:space="preserve">"WonderHydrate"</t>
  </si>
  <si>
    <t xml:space="preserve">Electrolytes, zero sugar</t>
  </si>
  <si>
    <t xml:space="preserve">Plant People (US)</t>
  </si>
  <si>
    <t xml:space="preserve">BG 150 · GR 230 · RO 180 · PL 260 · HU 180 · SI 100 · SK 170 · HR 110 · CZ 200</t>
  </si>
  <si>
    <t xml:space="preserve">"electrolyte"  (category keyword)</t>
  </si>
  <si>
    <t xml:space="preserve">Meta ads: electrolyte (PL)</t>
  </si>
  <si>
    <t xml:space="preserve">42 gummies = 21-day supply.</t>
  </si>
  <si>
    <t xml:space="preserve">The Bytes Company</t>
  </si>
  <si>
    <t xml:space="preserve">Hydrate Bytes</t>
  </si>
  <si>
    <t xml:space="preserve">John Bell &amp; Croyden</t>
  </si>
  <si>
    <t xml:space="preserve">Meta ads: Hydrate Bytes</t>
  </si>
  <si>
    <t xml:space="preserve">The BYTES Co.</t>
  </si>
  <si>
    <t xml:space="preserve">"Hydrate Bytes"</t>
  </si>
  <si>
    <t xml:space="preserve">Vitamin C, magnesium, potassium, salt</t>
  </si>
  <si>
    <t xml:space="preserve">Independent (made in DE)</t>
  </si>
  <si>
    <t xml:space="preserve">Beauty / hair</t>
  </si>
  <si>
    <t xml:space="preserve">Ah-mazing Hair Vitamin</t>
  </si>
  <si>
    <t xml:space="preserve">AT</t>
  </si>
  <si>
    <t xml:space="preserve">dm Austria</t>
  </si>
  <si>
    <t xml:space="preserve">Biotin, zinc, sugar-free</t>
  </si>
  <si>
    <t xml:space="preserve">GymBeam Pink Beauty gummies</t>
  </si>
  <si>
    <t xml:space="preserve">HU (+ all 9)</t>
  </si>
  <si>
    <t xml:space="preserve">BG 220 · GR 240 · RO 170 · PL 120 · HU 230 · SI 150 · SK 180 · HR 170 · CZ 200</t>
  </si>
  <si>
    <t xml:space="preserve">"GymBeam"</t>
  </si>
  <si>
    <t xml:space="preserve">Meta ads: GymBeam (HU)</t>
  </si>
  <si>
    <t xml:space="preserve">Swanson, Noble Health, MyVita (PL); VitaYummy, Vita Ora (RO)</t>
  </si>
  <si>
    <t xml:space="preserve">CROWDED</t>
  </si>
  <si>
    <t xml:space="preserve">60-bear version €24.99 (Vitalabo).</t>
  </si>
  <si>
    <t xml:space="preserve">Lashilé Beauty</t>
  </si>
  <si>
    <t xml:space="preserve">Good Hair</t>
  </si>
  <si>
    <t xml:space="preserve">CH</t>
  </si>
  <si>
    <t xml:space="preserve">Manor</t>
  </si>
  <si>
    <t xml:space="preserve">Meta ads: Lashilé</t>
  </si>
  <si>
    <t xml:space="preserve">BG 32 · GR 30 · RO 30 · PL 31 · HU 30 · SI 31 · SK 30 · HR 32 · CZ 30</t>
  </si>
  <si>
    <t xml:space="preserve">Lashilé Beauty, Sculp't You'r Raphaëlle.M Coiffure Studio with Lashilé Beauty, Ingrid with Lashilé Beauty</t>
  </si>
  <si>
    <t xml:space="preserve">"Lashilé"</t>
  </si>
  <si>
    <t xml:space="preserve">CHF</t>
  </si>
  <si>
    <t xml:space="preserve">Biotin, zinc, B6, horsetail</t>
  </si>
  <si>
    <t xml:space="preserve">Cooper Consumer Health (FR)</t>
  </si>
  <si>
    <t xml:space="preserve">#3 in French gummies (7.9% share). Meta: Lashilé runs ~30 ads in each of 8 of your 9 countries, so it's advertising in CEE.</t>
  </si>
  <si>
    <t xml:space="preserve">Creatine</t>
  </si>
  <si>
    <t xml:space="preserve">Novomins</t>
  </si>
  <si>
    <t xml:space="preserve">Creatine 5000mg, sugar-free</t>
  </si>
  <si>
    <t xml:space="preserve">Meta ads: Novomins</t>
  </si>
  <si>
    <t xml:space="preserve">Novomins Nutrition, Vicky Pattison with Novomins Nutrition</t>
  </si>
  <si>
    <t xml:space="preserve">"Novomins"</t>
  </si>
  <si>
    <t xml:space="preserve">Creatine monohydrate 5g/day</t>
  </si>
  <si>
    <t xml:space="preserve">Novomins (UK)</t>
  </si>
  <si>
    <t xml:space="preserve">GymBeam Creatine Yummies</t>
  </si>
  <si>
    <t xml:space="preserve">PL (+ all 9)</t>
  </si>
  <si>
    <t xml:space="preserve">Meta ads: GymBeam (PL)</t>
  </si>
  <si>
    <t xml:space="preserve">Swanson creatine gummies, PL (Media Expert), 110.40 PLN / 120 · AlphaBear creatine 5000mg, PL (Kaufland), 125 PLN / 90 · Weider, Re.Fuel (PL) · Applied Nutrition, OnEnergy (GR)</t>
  </si>
  <si>
    <t xml:space="preserve">AVOID</t>
  </si>
  <si>
    <t xml:space="preserve">€26.95 in Ireland. Benchmark only, because the category is crowded in your markets.</t>
  </si>
  <si>
    <t xml:space="preserve">Products tracked</t>
  </si>
  <si>
    <t xml:space="preserve">Avg Western price / gummy (EUR)</t>
  </si>
  <si>
    <t xml:space="preserve">Avg competitor price / gummy (EUR)</t>
  </si>
  <si>
    <t xml:space="preserve">Highest worldwide Meta ads (one brand)</t>
  </si>
  <si>
    <t xml:space="preserve">Most Meta ads in your 9 countries (one brand)</t>
  </si>
  <si>
    <t xml:space="preserve">Why</t>
  </si>
  <si>
    <t xml:space="preserve">Manhaé (RO) · ZOE capsules (PL)</t>
  </si>
  <si>
    <t xml:space="preserve">Bears with Benefits runs ~620 live Meta ads worldwide and 0 in your 9 countries. Its owner Havea runs only ~4 ads in RO (Vitavea Romania, for Manhaé). In PL, PMS support is sold as capsules only.</t>
  </si>
  <si>
    <t xml:space="preserve">Kompava (CZ/SK)</t>
  </si>
  <si>
    <t xml:space="preserve">UK brands scale on Meta (fourfive ~260, Myvitamins ~210, New Leaf ~92) but barely advertise in your markets. Kompava runs ~91 ads in CZ/SK/PL. The ~74 'fourfive' ads in your countries are mostly an unrelated clothing brand (Scuffers).</t>
  </si>
  <si>
    <t xml:space="preserve">~1,000 live 'sea moss gummies' ads worldwide against 1 per country in your markets (Alibaba). Sea moss in other formats is advertised (Biosigla, Zovost: ~1,150 ads), so the demand exists but nobody sells gummies yet.</t>
  </si>
  <si>
    <t xml:space="preserve">Marketplace seller (PL/CZ) · GNC (RO)</t>
  </si>
  <si>
    <t xml:space="preserve">Huge ad demand in your markets: ~8,000 live 'shilajit' ads (mostly resin and capsules, e.g. Oranic Extract Store). Gummy competition is weak, but you'll be bidding against many shilajit advertisers.</t>
  </si>
  <si>
    <t xml:space="preserve">Gummy brands barely advertise (Lemme ~2). Colostrum in other formats is heavily advertised in your markets (~1,370 ads, PL ~470), so the demand is proven.</t>
  </si>
  <si>
    <t xml:space="preserve">Small even in the West; works as a summer line extension.</t>
  </si>
  <si>
    <t xml:space="preserve">GymBeam + others</t>
  </si>
  <si>
    <t xml:space="preserve">Crowded: GymBeam runs ~1,680 ads across your 9 countries, and Lashilé already advertises in 8 of them (~30 ads each).</t>
  </si>
  <si>
    <t xml:space="preserve">GymBeam + Swanson, AlphaBear, others</t>
  </si>
  <si>
    <t xml:space="preserve">Novomins runs ~620 ads, all outside your markets, but GymBeam (~1,680 ads in your 9 countries), Swanson, AlphaBear and others already own the category.</t>
  </si>
  <si>
    <t xml:space="preserve">Exchange rates used for EUR conversion</t>
  </si>
  <si>
    <t xml:space="preserve">Approximate rates (assumption, not live). Edit the yellow cells and every EUR column recalculates.</t>
  </si>
  <si>
    <t xml:space="preserve">EUR per 1 unit</t>
  </si>
  <si>
    <t xml:space="preserve">USD</t>
  </si>
  <si>
    <t xml:space="preserve">CZK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</si>
</sst>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\€#,##0.00"/>
    <numFmt numFmtId="168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3C"/>
      <name val="Arial"/>
      <family val="0"/>
      <charset val="1"/>
    </font>
    <font>
      <sz val="10"/>
      <name val="Arial"/>
      <family val="2"/>
    </font>
    <font>
      <i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9E3D22"/>
        <bgColor rgb="FF993366"/>
      </patternFill>
    </fill>
    <fill>
      <patternFill patternType="solid">
        <fgColor rgb="FFDCE6EA"/>
        <bgColor rgb="FFF6DDD3"/>
      </patternFill>
    </fill>
    <fill>
      <patternFill patternType="solid">
        <fgColor rgb="FFF6DDD3"/>
        <bgColor rgb="FFDCE6EA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medium">
        <color rgb="FF9E3D22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F4858"/>
          <bgColor rgb="FF000000"/>
        </patternFill>
      </fill>
    </dxf>
    <dxf>
      <fill>
        <patternFill patternType="solid">
          <fgColor rgb="FFDCE6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E3D22"/>
          <bgColor rgb="FF000000"/>
        </patternFill>
      </fill>
    </dxf>
    <dxf>
      <fill>
        <patternFill patternType="solid">
          <fgColor rgb="FFF6DDD3"/>
          <bgColor rgb="FF000000"/>
        </patternFill>
      </fill>
    </dxf>
    <dxf>
      <fill>
        <patternFill patternType="solid">
          <fgColor rgb="FF00803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3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E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DD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3D22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vitalabo.com/bears-with-benefits/femtastic-pms-vitamins" TargetMode="External"/><Relationship Id="rId3" Type="http://schemas.openxmlformats.org/officeDocument/2006/relationships/hyperlink" Target="https://www.facebook.com/ads/library/?active_status=active&amp;ad_type=all&amp;country=ALL&amp;q=%22Bears%20with%20Benefits%22&amp;search_type=keyword_exact_phrase&amp;media_type=all" TargetMode="External"/><Relationship Id="rId4" Type="http://schemas.openxmlformats.org/officeDocument/2006/relationships/hyperlink" Target="https://www.notino.pl/zoe/pms-b6-kapsulki-do-wsparcia-rownowagi-hormonalnej/" TargetMode="External"/><Relationship Id="rId5" Type="http://schemas.openxmlformats.org/officeDocument/2006/relationships/hyperlink" Target="https://www.facebook.com/ads/library/?active_status=active&amp;ad_type=all&amp;country=PL&amp;q=%22PMS-B6%22&amp;search_type=keyword_exact_phrase&amp;media_type=all" TargetMode="External"/><Relationship Id="rId6" Type="http://schemas.openxmlformats.org/officeDocument/2006/relationships/hyperlink" Target="https://ecco-verde.co.uk/mummy-gummy/pms-2" TargetMode="External"/><Relationship Id="rId7" Type="http://schemas.openxmlformats.org/officeDocument/2006/relationships/hyperlink" Target="https://www.facebook.com/ads/library/?active_status=active&amp;ad_type=all&amp;country=ALL&amp;q=%22Mummy%20Gummy%22&amp;search_type=keyword_exact_phrase&amp;media_type=all" TargetMode="External"/><Relationship Id="rId8" Type="http://schemas.openxmlformats.org/officeDocument/2006/relationships/hyperlink" Target="https://www.notino.pl/zoe/pms-b6-kapsulki-do-wsparcia-rownowagi-hormonalnej/" TargetMode="External"/><Relationship Id="rId9" Type="http://schemas.openxmlformats.org/officeDocument/2006/relationships/hyperlink" Target="https://www.facebook.com/ads/library/?active_status=active&amp;ad_type=all&amp;country=PL&amp;q=%22PMS-B6%22&amp;search_type=keyword_exact_phrase&amp;media_type=all" TargetMode="External"/><Relationship Id="rId10" Type="http://schemas.openxmlformats.org/officeDocument/2006/relationships/hyperlink" Target="https://www.redcare-pharmacie.fr/hygiene-et-sante/F00421412/manhae-menopause-gummies.htm" TargetMode="External"/><Relationship Id="rId11" Type="http://schemas.openxmlformats.org/officeDocument/2006/relationships/hyperlink" Target="https://www.facebook.com/ads/library/?active_status=active&amp;ad_type=all&amp;country=ALL&amp;q=%22Manha&#233;%22&amp;search_type=keyword_exact_phrase&amp;media_type=all" TargetMode="External"/><Relationship Id="rId12" Type="http://schemas.openxmlformats.org/officeDocument/2006/relationships/hyperlink" Target="https://www.drmax.ro/menopause-gummies-manhae-60-jeleuri-vitavea" TargetMode="External"/><Relationship Id="rId13" Type="http://schemas.openxmlformats.org/officeDocument/2006/relationships/hyperlink" Target="https://www.facebook.com/ads/library/?active_status=active&amp;ad_type=all&amp;country=RO&amp;q=%22Manha&#233;%22&amp;search_type=keyword_exact_phrase&amp;media_type=all" TargetMode="External"/><Relationship Id="rId14" Type="http://schemas.openxmlformats.org/officeDocument/2006/relationships/hyperlink" Target="https://www.ecco-verde.co.uk/mummy-gummy/menopause-2" TargetMode="External"/><Relationship Id="rId15" Type="http://schemas.openxmlformats.org/officeDocument/2006/relationships/hyperlink" Target="https://www.facebook.com/ads/library/?active_status=active&amp;ad_type=all&amp;country=ALL&amp;q=%22Mummy%20Gummy%22&amp;search_type=keyword_exact_phrase&amp;media_type=all" TargetMode="External"/><Relationship Id="rId16" Type="http://schemas.openxmlformats.org/officeDocument/2006/relationships/hyperlink" Target="https://www.drmax.ro/menopause-gummies-manhae-60-jeleuri-vitavea" TargetMode="External"/><Relationship Id="rId17" Type="http://schemas.openxmlformats.org/officeDocument/2006/relationships/hyperlink" Target="https://www.facebook.com/ads/library/?active_status=active&amp;ad_type=all&amp;country=RO&amp;q=%22Manha&#233;%22&amp;search_type=keyword_exact_phrase&amp;media_type=all" TargetMode="External"/><Relationship Id="rId18" Type="http://schemas.openxmlformats.org/officeDocument/2006/relationships/hyperlink" Target="https://www.hollandandbarrett.com/shop/product/fourfive-focus-energy-lion-s-mane-4000mg-60-gummies-6100003656" TargetMode="External"/><Relationship Id="rId19" Type="http://schemas.openxmlformats.org/officeDocument/2006/relationships/hyperlink" Target="https://www.facebook.com/ads/library/?active_status=active&amp;ad_type=all&amp;country=ALL&amp;q=%22fourfive%22&amp;search_type=keyword_exact_phrase&amp;media_type=all" TargetMode="External"/><Relationship Id="rId20" Type="http://schemas.openxmlformats.org/officeDocument/2006/relationships/hyperlink" Target="https://www.drmax.cz/kompava-memo-gummies-180-mg-60-cukrikov" TargetMode="External"/><Relationship Id="rId21" Type="http://schemas.openxmlformats.org/officeDocument/2006/relationships/hyperlink" Target="https://www.facebook.com/ads/library/?active_status=active&amp;ad_type=all&amp;country=CZ&amp;q=%22Kompava%22&amp;search_type=keyword_exact_phrase&amp;media_type=all" TargetMode="External"/><Relationship Id="rId22" Type="http://schemas.openxmlformats.org/officeDocument/2006/relationships/hyperlink" Target="https://www.hollandandbarrett.com/shop/product/nutrigums-lion-s-mane-complex-60-gummies-6100017092" TargetMode="External"/><Relationship Id="rId23" Type="http://schemas.openxmlformats.org/officeDocument/2006/relationships/hyperlink" Target="https://www.facebook.com/ads/library/?active_status=active&amp;ad_type=all&amp;country=ALL&amp;q=%22Nutrigums%22&amp;search_type=keyword_exact_phrase&amp;media_type=all" TargetMode="External"/><Relationship Id="rId24" Type="http://schemas.openxmlformats.org/officeDocument/2006/relationships/hyperlink" Target="https://www.drmax.cz/kompava-memo-gummies-180-mg-60-cukrikov" TargetMode="External"/><Relationship Id="rId25" Type="http://schemas.openxmlformats.org/officeDocument/2006/relationships/hyperlink" Target="https://www.facebook.com/ads/library/?active_status=active&amp;ad_type=all&amp;country=CZ&amp;q=%22Kompava%22&amp;search_type=keyword_exact_phrase&amp;media_type=all" TargetMode="External"/><Relationship Id="rId26" Type="http://schemas.openxmlformats.org/officeDocument/2006/relationships/hyperlink" Target="https://hollandandbarrett.com/shop/product/starpowa-lion-s-mane-500mg-60-gummies-6100001690" TargetMode="External"/><Relationship Id="rId27" Type="http://schemas.openxmlformats.org/officeDocument/2006/relationships/hyperlink" Target="https://www.facebook.com/ads/library/?active_status=active&amp;ad_type=all&amp;country=ALL&amp;q=%22Starpowa%22&amp;search_type=keyword_exact_phrase&amp;media_type=all" TargetMode="External"/><Relationship Id="rId28" Type="http://schemas.openxmlformats.org/officeDocument/2006/relationships/hyperlink" Target="https://www.drmax.cz/kompava-memo-gummies-180-mg-60-cukrikov" TargetMode="External"/><Relationship Id="rId29" Type="http://schemas.openxmlformats.org/officeDocument/2006/relationships/hyperlink" Target="https://www.facebook.com/ads/library/?active_status=active&amp;ad_type=all&amp;country=CZ&amp;q=%22Kompava%22&amp;search_type=keyword_exact_phrase&amp;media_type=all" TargetMode="External"/><Relationship Id="rId30" Type="http://schemas.openxmlformats.org/officeDocument/2006/relationships/hyperlink" Target="https://www.superdrug.com/health/vitamins-supplements/multi-vitamins/new-leaf-lions-mane-gummies-with-vitamin-c-b5-60-fill/p/mp-00471066" TargetMode="External"/><Relationship Id="rId31" Type="http://schemas.openxmlformats.org/officeDocument/2006/relationships/hyperlink" Target="https://www.facebook.com/ads/library/?active_status=active&amp;ad_type=all&amp;country=ALL&amp;q=%22New%20Leaf%20Products%22&amp;search_type=keyword_exact_phrase&amp;media_type=all" TargetMode="External"/><Relationship Id="rId32" Type="http://schemas.openxmlformats.org/officeDocument/2006/relationships/hyperlink" Target="https://www.drmax.cz/kompava-memo-gummies-180-mg-60-cukrikov" TargetMode="External"/><Relationship Id="rId33" Type="http://schemas.openxmlformats.org/officeDocument/2006/relationships/hyperlink" Target="https://www.facebook.com/ads/library/?active_status=active&amp;ad_type=all&amp;country=CZ&amp;q=%22Kompava%22&amp;search_type=keyword_exact_phrase&amp;media_type=all" TargetMode="External"/><Relationship Id="rId34" Type="http://schemas.openxmlformats.org/officeDocument/2006/relationships/hyperlink" Target="https://myprotein.ie/p/sports-nutrition/mushroom-gummies-lion-s-mane-reishi/15726883" TargetMode="External"/><Relationship Id="rId35" Type="http://schemas.openxmlformats.org/officeDocument/2006/relationships/hyperlink" Target="https://www.facebook.com/ads/library/?active_status=active&amp;ad_type=all&amp;country=ALL&amp;q=%22Myvitamins%22&amp;search_type=keyword_exact_phrase&amp;media_type=all" TargetMode="External"/><Relationship Id="rId36" Type="http://schemas.openxmlformats.org/officeDocument/2006/relationships/hyperlink" Target="https://www.drmax.cz/kompava-memo-gummies-180-mg-60-cukrikov" TargetMode="External"/><Relationship Id="rId37" Type="http://schemas.openxmlformats.org/officeDocument/2006/relationships/hyperlink" Target="https://www.facebook.com/ads/library/?active_status=active&amp;ad_type=all&amp;country=CZ&amp;q=%22Kompava%22&amp;search_type=keyword_exact_phrase&amp;media_type=all" TargetMode="External"/><Relationship Id="rId38" Type="http://schemas.openxmlformats.org/officeDocument/2006/relationships/hyperlink" Target="https://www.hollandandbarrett.com/shop/product/holland-barrett-sea-moss-apple-flavour-1000mg-60-gummies-6100022478" TargetMode="External"/><Relationship Id="rId39" Type="http://schemas.openxmlformats.org/officeDocument/2006/relationships/hyperlink" Target="https://www.facebook.com/ads/library/?active_status=active&amp;ad_type=all&amp;country=ALL&amp;q=%22sea%20moss%20gummies%22&amp;search_type=keyword_exact_phrase&amp;media_type=all" TargetMode="External"/><Relationship Id="rId40" Type="http://schemas.openxmlformats.org/officeDocument/2006/relationships/hyperlink" Target="https://www.facebook.com/ads/library/?active_status=active&amp;ad_type=all&amp;country=PL&amp;q=%22sea%20moss%22&amp;search_type=keyword_exact_phrase&amp;media_type=all" TargetMode="External"/><Relationship Id="rId41" Type="http://schemas.openxmlformats.org/officeDocument/2006/relationships/hyperlink" Target="https://www.hollandandbarrett.ie/shop/product/starpowa-sea-moss-1000mg-60-gummies-6100001689" TargetMode="External"/><Relationship Id="rId42" Type="http://schemas.openxmlformats.org/officeDocument/2006/relationships/hyperlink" Target="https://www.facebook.com/ads/library/?active_status=active&amp;ad_type=all&amp;country=ALL&amp;q=%22Starpowa%22&amp;search_type=keyword_exact_phrase&amp;media_type=all" TargetMode="External"/><Relationship Id="rId43" Type="http://schemas.openxmlformats.org/officeDocument/2006/relationships/hyperlink" Target="https://www.facebook.com/ads/library/?active_status=active&amp;ad_type=all&amp;country=PL&amp;q=%22sea%20moss%22&amp;search_type=keyword_exact_phrase&amp;media_type=all" TargetMode="External"/><Relationship Id="rId44" Type="http://schemas.openxmlformats.org/officeDocument/2006/relationships/hyperlink" Target="https://www.redcare-pharmacie.fr/hygiene-et-sante/F00572690/granions-shilajit.htm" TargetMode="External"/><Relationship Id="rId45" Type="http://schemas.openxmlformats.org/officeDocument/2006/relationships/hyperlink" Target="https://www.facebook.com/ads/library/?active_status=active&amp;ad_type=all&amp;country=ALL&amp;q=%22Granions%22&amp;search_type=keyword_exact_phrase&amp;media_type=all" TargetMode="External"/><Relationship Id="rId46" Type="http://schemas.openxmlformats.org/officeDocument/2006/relationships/hyperlink" Target="https://www.kaufland.pl/product/539162049/" TargetMode="External"/><Relationship Id="rId47" Type="http://schemas.openxmlformats.org/officeDocument/2006/relationships/hyperlink" Target="https://www.facebook.com/ads/library/?active_status=active&amp;ad_type=all&amp;country=PL&amp;q=%22shilajit%22&amp;search_type=keyword_exact_phrase&amp;media_type=all" TargetMode="External"/><Relationship Id="rId48" Type="http://schemas.openxmlformats.org/officeDocument/2006/relationships/hyperlink" Target="https://www.docmorris.de/shilajit-ashwagandha-gummies-von-canitat-m/FPCPZ9TM" TargetMode="External"/><Relationship Id="rId49" Type="http://schemas.openxmlformats.org/officeDocument/2006/relationships/hyperlink" Target="https://www.facebook.com/ads/library/?active_status=active&amp;ad_type=all&amp;country=ALL&amp;q=%22Canitat%22&amp;search_type=keyword_exact_phrase&amp;media_type=all" TargetMode="External"/><Relationship Id="rId50" Type="http://schemas.openxmlformats.org/officeDocument/2006/relationships/hyperlink" Target="https://www.kaufland.pl/product/539162049/" TargetMode="External"/><Relationship Id="rId51" Type="http://schemas.openxmlformats.org/officeDocument/2006/relationships/hyperlink" Target="https://www.facebook.com/ads/library/?active_status=active&amp;ad_type=all&amp;country=PL&amp;q=%22shilajit%22&amp;search_type=keyword_exact_phrase&amp;media_type=all" TargetMode="External"/><Relationship Id="rId52" Type="http://schemas.openxmlformats.org/officeDocument/2006/relationships/hyperlink" Target="https://glamglobal.co.uk/products/lemme-colostrum-gummies-60-gummies-gut-health-digestion-immunity-support-with-vitamin-d3" TargetMode="External"/><Relationship Id="rId53" Type="http://schemas.openxmlformats.org/officeDocument/2006/relationships/hyperlink" Target="https://www.facebook.com/ads/library/?active_status=active&amp;ad_type=all&amp;country=ALL&amp;q=%22Lemme%20Colostrum%22&amp;search_type=keyword_exact_phrase&amp;media_type=all" TargetMode="External"/><Relationship Id="rId54" Type="http://schemas.openxmlformats.org/officeDocument/2006/relationships/hyperlink" Target="https://www.facebook.com/ads/library/?active_status=active&amp;ad_type=all&amp;country=PL&amp;q=%22colostrum%22&amp;search_type=keyword_exact_phrase&amp;media_type=all" TargetMode="External"/><Relationship Id="rId55" Type="http://schemas.openxmlformats.org/officeDocument/2006/relationships/hyperlink" Target="https://liveinthelight.co.uk/products/wonderhydrate-electrolyte-gummies" TargetMode="External"/><Relationship Id="rId56" Type="http://schemas.openxmlformats.org/officeDocument/2006/relationships/hyperlink" Target="https://www.facebook.com/ads/library/?active_status=active&amp;ad_type=all&amp;country=ALL&amp;q=%22WonderHydrate%22&amp;search_type=keyword_exact_phrase&amp;media_type=all" TargetMode="External"/><Relationship Id="rId57" Type="http://schemas.openxmlformats.org/officeDocument/2006/relationships/hyperlink" Target="https://www.facebook.com/ads/library/?active_status=active&amp;ad_type=all&amp;country=PL&amp;q=%22electrolyte%22&amp;search_type=keyword_exact_phrase&amp;media_type=all" TargetMode="External"/><Relationship Id="rId58" Type="http://schemas.openxmlformats.org/officeDocument/2006/relationships/hyperlink" Target="https://johnbellcroyden.co.uk/products/the-bytes-company-hydrate-bytes-60-watermelon-kiwi-gummies" TargetMode="External"/><Relationship Id="rId59" Type="http://schemas.openxmlformats.org/officeDocument/2006/relationships/hyperlink" Target="https://www.facebook.com/ads/library/?active_status=active&amp;ad_type=all&amp;country=ALL&amp;q=%22Hydrate%20Bytes%22&amp;search_type=keyword_exact_phrase&amp;media_type=all" TargetMode="External"/><Relationship Id="rId60" Type="http://schemas.openxmlformats.org/officeDocument/2006/relationships/hyperlink" Target="https://www.facebook.com/ads/library/?active_status=active&amp;ad_type=all&amp;country=PL&amp;q=%22electrolyte%22&amp;search_type=keyword_exact_phrase&amp;media_type=all" TargetMode="External"/><Relationship Id="rId61" Type="http://schemas.openxmlformats.org/officeDocument/2006/relationships/hyperlink" Target="https://www.dm.at/p/d/1580777/bears-with-benefits-ah-mazing-hair-vitamin-biotin-gummibaerchen" TargetMode="External"/><Relationship Id="rId62" Type="http://schemas.openxmlformats.org/officeDocument/2006/relationships/hyperlink" Target="https://www.facebook.com/ads/library/?active_status=active&amp;ad_type=all&amp;country=ALL&amp;q=%22Bears%20with%20Benefits%22&amp;search_type=keyword_exact_phrase&amp;media_type=all" TargetMode="External"/><Relationship Id="rId63" Type="http://schemas.openxmlformats.org/officeDocument/2006/relationships/hyperlink" Target="https://zue.hu/en/spd/1019825/GymBeam-Pink-Beauty-Gumivitamin-60db" TargetMode="External"/><Relationship Id="rId64" Type="http://schemas.openxmlformats.org/officeDocument/2006/relationships/hyperlink" Target="https://www.facebook.com/ads/library/?active_status=active&amp;ad_type=all&amp;country=HU&amp;q=%22GymBeam%22&amp;search_type=keyword_exact_phrase&amp;media_type=all" TargetMode="External"/><Relationship Id="rId65" Type="http://schemas.openxmlformats.org/officeDocument/2006/relationships/hyperlink" Target="https://www.manor.ch/fr/p/10002546616" TargetMode="External"/><Relationship Id="rId66" Type="http://schemas.openxmlformats.org/officeDocument/2006/relationships/hyperlink" Target="https://www.facebook.com/ads/library/?active_status=active&amp;ad_type=all&amp;country=ALL&amp;q=%22Lashil&#233;%22&amp;search_type=keyword_exact_phrase&amp;media_type=all" TargetMode="External"/><Relationship Id="rId67" Type="http://schemas.openxmlformats.org/officeDocument/2006/relationships/hyperlink" Target="https://zue.hu/en/spd/1019825/GymBeam-Pink-Beauty-Gumivitamin-60db" TargetMode="External"/><Relationship Id="rId68" Type="http://schemas.openxmlformats.org/officeDocument/2006/relationships/hyperlink" Target="https://www.facebook.com/ads/library/?active_status=active&amp;ad_type=all&amp;country=HU&amp;q=%22GymBeam%22&amp;search_type=keyword_exact_phrase&amp;media_type=all" TargetMode="External"/><Relationship Id="rId69" Type="http://schemas.openxmlformats.org/officeDocument/2006/relationships/hyperlink" Target="https://www.hollandandbarrett.com/shop/product/strawberry-flavoured-creatine-gummies-food-supplement-with-sugar-ansd-sweetener-90-6100007176" TargetMode="External"/><Relationship Id="rId70" Type="http://schemas.openxmlformats.org/officeDocument/2006/relationships/hyperlink" Target="https://www.facebook.com/ads/library/?active_status=active&amp;ad_type=all&amp;country=ALL&amp;q=%22Novomins%22&amp;search_type=keyword_exact_phrase&amp;media_type=all" TargetMode="External"/><Relationship Id="rId71" Type="http://schemas.openxmlformats.org/officeDocument/2006/relationships/hyperlink" Target="https://www.notino.pl/gymbeam/creatine-yummies-zelki-wsparcie-wydolnosci-treningowej/" TargetMode="External"/><Relationship Id="rId72" Type="http://schemas.openxmlformats.org/officeDocument/2006/relationships/hyperlink" Target="https://www.facebook.com/ads/library/?active_status=active&amp;ad_type=all&amp;country=PL&amp;q=%22GymBeam%22&amp;search_type=keyword_exact_phrase&amp;media_type=all" TargetMode="External"/><Relationship Id="rId73" Type="http://schemas.openxmlformats.org/officeDocument/2006/relationships/drawing" Target="../drawings/drawing1.xml"/><Relationship Id="rId7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4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8" min="18" style="0" width="7"/>
    <col collapsed="false" customWidth="true" hidden="false" outlineLevel="0" max="19" min="19" style="0" width="9"/>
    <col collapsed="false" customWidth="true" hidden="false" outlineLevel="0" max="20" min="20" style="0" width="26"/>
    <col collapsed="false" customWidth="true" hidden="false" outlineLevel="0" max="21" min="21" style="0" width="18"/>
    <col collapsed="false" customWidth="true" hidden="false" outlineLevel="0" max="22" min="22" style="0" width="2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9"/>
    <col collapsed="false" customWidth="true" hidden="false" outlineLevel="0" max="26" min="26" style="0" width="8"/>
    <col collapsed="false" customWidth="true" hidden="false" outlineLevel="0" max="27" min="27" style="0" width="9"/>
    <col collapsed="false" customWidth="true" hidden="false" outlineLevel="0" max="28" min="28" style="0" width="7"/>
    <col collapsed="false" customWidth="true" hidden="false" outlineLevel="0" max="29" min="29" style="0" width="9"/>
    <col collapsed="false" customWidth="true" hidden="false" outlineLevel="0" max="30" min="30" style="0" width="11"/>
    <col collapsed="false" customWidth="true" hidden="false" outlineLevel="0" max="31" min="31" style="0" width="24"/>
    <col collapsed="false" customWidth="true" hidden="false" outlineLevel="0" max="32" min="32" style="0" width="18"/>
    <col collapsed="false" customWidth="true" hidden="false" outlineLevel="0" max="33" min="33" style="0" width="22"/>
    <col collapsed="false" customWidth="true" hidden="false" outlineLevel="0" max="34" min="34" style="0" width="36"/>
    <col collapsed="false" customWidth="true" hidden="false" outlineLevel="0" max="35" min="35" style="0" width="16"/>
    <col collapsed="false" customWidth="true" hidden="false" outlineLevel="0" max="36" min="36" style="0" width="48"/>
  </cols>
  <sheetData>
    <row r="1" customFormat="false" ht="21.75" hidden="false" customHeight="true" outlineLevel="0" collapsed="false">
      <c r="A1" s="4" t="s">
        <v>18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5" t="s">
        <v>19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</row>
    <row r="2" customFormat="false" ht="42" hidden="false" customHeight="true" outlineLevel="0" collapsed="false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38</v>
      </c>
      <c r="T2" s="6" t="s">
        <v>39</v>
      </c>
      <c r="U2" s="6" t="s">
        <v>40</v>
      </c>
      <c r="V2" s="7" t="s">
        <v>41</v>
      </c>
      <c r="W2" s="8" t="s">
        <v>24</v>
      </c>
      <c r="X2" s="8" t="s">
        <v>42</v>
      </c>
      <c r="Y2" s="8" t="s">
        <v>34</v>
      </c>
      <c r="Z2" s="8" t="s">
        <v>35</v>
      </c>
      <c r="AA2" s="8" t="s">
        <v>36</v>
      </c>
      <c r="AB2" s="8" t="s">
        <v>37</v>
      </c>
      <c r="AC2" s="8" t="s">
        <v>38</v>
      </c>
      <c r="AD2" s="8" t="s">
        <v>43</v>
      </c>
      <c r="AE2" s="8" t="s">
        <v>44</v>
      </c>
      <c r="AF2" s="8" t="s">
        <v>45</v>
      </c>
      <c r="AG2" s="8" t="s">
        <v>46</v>
      </c>
      <c r="AH2" s="8" t="s">
        <v>47</v>
      </c>
      <c r="AI2" s="8" t="s">
        <v>48</v>
      </c>
      <c r="AJ2" s="8" t="s">
        <v>49</v>
      </c>
    </row>
    <row r="3" customFormat="false" ht="35.05" hidden="false" customHeight="false" outlineLevel="0" collapsed="false">
      <c r="A3" s="9" t="n">
        <v>1</v>
      </c>
      <c r="B3" s="9" t="s">
        <v>50</v>
      </c>
      <c r="C3" s="9" t="s">
        <v>51</v>
      </c>
      <c r="D3" s="10" t="s">
        <v>52</v>
      </c>
      <c r="E3" s="9" t="s">
        <v>53</v>
      </c>
      <c r="F3" s="9" t="s">
        <v>54</v>
      </c>
      <c r="G3" s="11" t="s">
        <v>55</v>
      </c>
      <c r="H3" s="11" t="s">
        <v>56</v>
      </c>
      <c r="I3" s="12" t="n">
        <v>620</v>
      </c>
      <c r="J3" s="13" t="str">
        <f aca="false">IF(I3="","Not counted",IF(I3&gt;=50,"Scaling (50+)",IF(I3&gt;=10,"Testing (10–49)",IF(I3&gt;=1,"Low (1–9)","No live ads"))))</f>
        <v>Scaling (50+)</v>
      </c>
      <c r="K3" s="12" t="n">
        <v>0</v>
      </c>
      <c r="L3" s="10" t="s">
        <v>57</v>
      </c>
      <c r="M3" s="10" t="s">
        <v>58</v>
      </c>
      <c r="N3" s="10" t="s">
        <v>59</v>
      </c>
      <c r="O3" s="14"/>
      <c r="P3" s="9" t="s">
        <v>60</v>
      </c>
      <c r="Q3" s="15" t="str">
        <f aca="false">IF(O3="","",O3*INDEX(FX!$B$5:$B$11,MATCH(P3,FX!$A$5:$A$11,0)))</f>
        <v/>
      </c>
      <c r="R3" s="16" t="n">
        <v>60</v>
      </c>
      <c r="S3" s="15" t="str">
        <f aca="false">IFERROR(Q3/R3,"")</f>
        <v/>
      </c>
      <c r="T3" s="10" t="s">
        <v>61</v>
      </c>
      <c r="U3" s="10" t="s">
        <v>62</v>
      </c>
      <c r="V3" s="17" t="s">
        <v>63</v>
      </c>
      <c r="W3" s="18" t="s">
        <v>64</v>
      </c>
      <c r="X3" s="19" t="s">
        <v>65</v>
      </c>
      <c r="Y3" s="20" t="n">
        <v>119.8</v>
      </c>
      <c r="Z3" s="18" t="s">
        <v>66</v>
      </c>
      <c r="AA3" s="21" t="n">
        <f aca="false">IF(Y3="","",Y3*INDEX(FX!$B$5:$B$11,MATCH(Z3,FX!$A$5:$A$11,0)))</f>
        <v>28.153</v>
      </c>
      <c r="AB3" s="22" t="n">
        <v>60</v>
      </c>
      <c r="AC3" s="21" t="n">
        <f aca="false">IFERROR(AA3/AB3,"")</f>
        <v>0.469216666666667</v>
      </c>
      <c r="AD3" s="23" t="n">
        <v>1</v>
      </c>
      <c r="AE3" s="24" t="s">
        <v>67</v>
      </c>
      <c r="AF3" s="24" t="s">
        <v>68</v>
      </c>
      <c r="AG3" s="19" t="s">
        <v>69</v>
      </c>
      <c r="AH3" s="24" t="s">
        <v>70</v>
      </c>
      <c r="AI3" s="25" t="s">
        <v>71</v>
      </c>
      <c r="AJ3" s="24" t="s">
        <v>72</v>
      </c>
    </row>
    <row r="4" customFormat="false" ht="23.85" hidden="false" customHeight="false" outlineLevel="0" collapsed="false">
      <c r="A4" s="9" t="n">
        <v>2</v>
      </c>
      <c r="B4" s="9" t="s">
        <v>50</v>
      </c>
      <c r="C4" s="9" t="s">
        <v>73</v>
      </c>
      <c r="D4" s="10" t="s">
        <v>74</v>
      </c>
      <c r="E4" s="9" t="s">
        <v>75</v>
      </c>
      <c r="F4" s="9" t="s">
        <v>76</v>
      </c>
      <c r="G4" s="11" t="s">
        <v>55</v>
      </c>
      <c r="H4" s="11" t="s">
        <v>77</v>
      </c>
      <c r="I4" s="12" t="n">
        <v>0</v>
      </c>
      <c r="J4" s="13" t="str">
        <f aca="false">IF(I4="","Not counted",IF(I4&gt;=50,"Scaling (50+)",IF(I4&gt;=10,"Testing (10–49)",IF(I4&gt;=1,"Low (1–9)","No live ads"))))</f>
        <v>No live ads</v>
      </c>
      <c r="K4" s="12" t="n">
        <v>0</v>
      </c>
      <c r="L4" s="10" t="s">
        <v>57</v>
      </c>
      <c r="M4" s="10" t="s">
        <v>70</v>
      </c>
      <c r="N4" s="10" t="s">
        <v>78</v>
      </c>
      <c r="O4" s="14"/>
      <c r="P4" s="9" t="s">
        <v>79</v>
      </c>
      <c r="Q4" s="15" t="str">
        <f aca="false">IF(O4="","",O4*INDEX(FX!$B$5:$B$11,MATCH(P4,FX!$A$5:$A$11,0)))</f>
        <v/>
      </c>
      <c r="R4" s="16" t="n">
        <v>60</v>
      </c>
      <c r="S4" s="15" t="str">
        <f aca="false">IFERROR(Q4/R4,"")</f>
        <v/>
      </c>
      <c r="T4" s="10" t="s">
        <v>80</v>
      </c>
      <c r="U4" s="10" t="s">
        <v>81</v>
      </c>
      <c r="V4" s="17" t="s">
        <v>63</v>
      </c>
      <c r="W4" s="18" t="s">
        <v>64</v>
      </c>
      <c r="X4" s="19" t="s">
        <v>65</v>
      </c>
      <c r="Y4" s="20" t="n">
        <v>119.8</v>
      </c>
      <c r="Z4" s="18" t="s">
        <v>66</v>
      </c>
      <c r="AA4" s="21" t="n">
        <f aca="false">IF(Y4="","",Y4*INDEX(FX!$B$5:$B$11,MATCH(Z4,FX!$A$5:$A$11,0)))</f>
        <v>28.153</v>
      </c>
      <c r="AB4" s="22" t="n">
        <v>60</v>
      </c>
      <c r="AC4" s="21" t="n">
        <f aca="false">IFERROR(AA4/AB4,"")</f>
        <v>0.469216666666667</v>
      </c>
      <c r="AD4" s="23" t="n">
        <v>1</v>
      </c>
      <c r="AE4" s="24" t="s">
        <v>67</v>
      </c>
      <c r="AF4" s="24" t="s">
        <v>68</v>
      </c>
      <c r="AG4" s="19" t="s">
        <v>69</v>
      </c>
      <c r="AH4" s="24" t="s">
        <v>70</v>
      </c>
      <c r="AI4" s="25" t="s">
        <v>71</v>
      </c>
      <c r="AJ4" s="24" t="s">
        <v>82</v>
      </c>
    </row>
    <row r="5" customFormat="false" ht="46.25" hidden="false" customHeight="false" outlineLevel="0" collapsed="false">
      <c r="A5" s="9" t="n">
        <v>3</v>
      </c>
      <c r="B5" s="9" t="s">
        <v>50</v>
      </c>
      <c r="C5" s="9" t="s">
        <v>83</v>
      </c>
      <c r="D5" s="10" t="s">
        <v>84</v>
      </c>
      <c r="E5" s="9" t="s">
        <v>85</v>
      </c>
      <c r="F5" s="9" t="s">
        <v>86</v>
      </c>
      <c r="G5" s="11" t="s">
        <v>55</v>
      </c>
      <c r="H5" s="11" t="s">
        <v>87</v>
      </c>
      <c r="I5" s="12" t="n">
        <v>26</v>
      </c>
      <c r="J5" s="13" t="str">
        <f aca="false">IF(I5="","Not counted",IF(I5&gt;=50,"Scaling (50+)",IF(I5&gt;=10,"Testing (10–49)",IF(I5&gt;=1,"Low (1–9)","No live ads"))))</f>
        <v>Testing (10–49)</v>
      </c>
      <c r="K5" s="12" t="n">
        <v>4</v>
      </c>
      <c r="L5" s="10" t="s">
        <v>88</v>
      </c>
      <c r="M5" s="10" t="s">
        <v>89</v>
      </c>
      <c r="N5" s="10" t="s">
        <v>90</v>
      </c>
      <c r="O5" s="14" t="n">
        <v>19.19</v>
      </c>
      <c r="P5" s="9" t="s">
        <v>60</v>
      </c>
      <c r="Q5" s="15" t="n">
        <f aca="false">IF(O5="","",O5*INDEX(FX!$B$5:$B$11,MATCH(P5,FX!$A$5:$A$11,0)))</f>
        <v>19.19</v>
      </c>
      <c r="R5" s="16" t="n">
        <v>60</v>
      </c>
      <c r="S5" s="15" t="n">
        <f aca="false">IFERROR(Q5/R5,"")</f>
        <v>0.319833333333333</v>
      </c>
      <c r="T5" s="10" t="s">
        <v>91</v>
      </c>
      <c r="U5" s="10" t="s">
        <v>62</v>
      </c>
      <c r="V5" s="17" t="s">
        <v>92</v>
      </c>
      <c r="W5" s="18" t="s">
        <v>93</v>
      </c>
      <c r="X5" s="19" t="s">
        <v>65</v>
      </c>
      <c r="Y5" s="20" t="n">
        <v>105.49</v>
      </c>
      <c r="Z5" s="18" t="s">
        <v>94</v>
      </c>
      <c r="AA5" s="21" t="n">
        <f aca="false">IF(Y5="","",Y5*INDEX(FX!$B$5:$B$11,MATCH(Z5,FX!$A$5:$A$11,0)))</f>
        <v>21.098</v>
      </c>
      <c r="AB5" s="22" t="n">
        <v>60</v>
      </c>
      <c r="AC5" s="21" t="n">
        <f aca="false">IFERROR(AA5/AB5,"")</f>
        <v>0.351633333333333</v>
      </c>
      <c r="AD5" s="23" t="n">
        <v>4</v>
      </c>
      <c r="AE5" s="24" t="s">
        <v>88</v>
      </c>
      <c r="AF5" s="24" t="s">
        <v>90</v>
      </c>
      <c r="AG5" s="19" t="s">
        <v>95</v>
      </c>
      <c r="AH5" s="24" t="s">
        <v>70</v>
      </c>
      <c r="AI5" s="25" t="s">
        <v>71</v>
      </c>
      <c r="AJ5" s="24" t="s">
        <v>96</v>
      </c>
    </row>
    <row r="6" customFormat="false" ht="23.85" hidden="false" customHeight="false" outlineLevel="0" collapsed="false">
      <c r="A6" s="9" t="n">
        <v>4</v>
      </c>
      <c r="B6" s="9" t="s">
        <v>50</v>
      </c>
      <c r="C6" s="9" t="s">
        <v>73</v>
      </c>
      <c r="D6" s="10" t="s">
        <v>97</v>
      </c>
      <c r="E6" s="9" t="s">
        <v>75</v>
      </c>
      <c r="F6" s="9" t="s">
        <v>76</v>
      </c>
      <c r="G6" s="11" t="s">
        <v>55</v>
      </c>
      <c r="H6" s="11" t="s">
        <v>77</v>
      </c>
      <c r="I6" s="12" t="n">
        <v>0</v>
      </c>
      <c r="J6" s="13" t="str">
        <f aca="false">IF(I6="","Not counted",IF(I6&gt;=50,"Scaling (50+)",IF(I6&gt;=10,"Testing (10–49)",IF(I6&gt;=1,"Low (1–9)","No live ads"))))</f>
        <v>No live ads</v>
      </c>
      <c r="K6" s="12" t="n">
        <v>0</v>
      </c>
      <c r="L6" s="10" t="s">
        <v>57</v>
      </c>
      <c r="M6" s="10" t="s">
        <v>70</v>
      </c>
      <c r="N6" s="10" t="s">
        <v>78</v>
      </c>
      <c r="O6" s="14" t="n">
        <v>11.95</v>
      </c>
      <c r="P6" s="9" t="s">
        <v>79</v>
      </c>
      <c r="Q6" s="15" t="n">
        <f aca="false">IF(O6="","",O6*INDEX(FX!$B$5:$B$11,MATCH(P6,FX!$A$5:$A$11,0)))</f>
        <v>13.9815</v>
      </c>
      <c r="R6" s="16" t="n">
        <v>60</v>
      </c>
      <c r="S6" s="15" t="n">
        <f aca="false">IFERROR(Q6/R6,"")</f>
        <v>0.233025</v>
      </c>
      <c r="T6" s="10" t="s">
        <v>98</v>
      </c>
      <c r="U6" s="10" t="s">
        <v>81</v>
      </c>
      <c r="V6" s="17" t="s">
        <v>92</v>
      </c>
      <c r="W6" s="18" t="s">
        <v>93</v>
      </c>
      <c r="X6" s="19" t="s">
        <v>65</v>
      </c>
      <c r="Y6" s="20" t="n">
        <v>105.49</v>
      </c>
      <c r="Z6" s="18" t="s">
        <v>94</v>
      </c>
      <c r="AA6" s="21" t="n">
        <f aca="false">IF(Y6="","",Y6*INDEX(FX!$B$5:$B$11,MATCH(Z6,FX!$A$5:$A$11,0)))</f>
        <v>21.098</v>
      </c>
      <c r="AB6" s="22" t="n">
        <v>60</v>
      </c>
      <c r="AC6" s="21" t="n">
        <f aca="false">IFERROR(AA6/AB6,"")</f>
        <v>0.351633333333333</v>
      </c>
      <c r="AD6" s="23" t="n">
        <v>4</v>
      </c>
      <c r="AE6" s="24" t="s">
        <v>88</v>
      </c>
      <c r="AF6" s="24" t="s">
        <v>90</v>
      </c>
      <c r="AG6" s="19" t="s">
        <v>95</v>
      </c>
      <c r="AH6" s="24" t="s">
        <v>70</v>
      </c>
      <c r="AI6" s="25" t="s">
        <v>71</v>
      </c>
      <c r="AJ6" s="24"/>
    </row>
    <row r="7" customFormat="false" ht="23.85" hidden="false" customHeight="false" outlineLevel="0" collapsed="false">
      <c r="A7" s="9" t="n">
        <v>5</v>
      </c>
      <c r="B7" s="9" t="s">
        <v>99</v>
      </c>
      <c r="C7" s="9" t="s">
        <v>100</v>
      </c>
      <c r="D7" s="10" t="s">
        <v>101</v>
      </c>
      <c r="E7" s="9" t="s">
        <v>75</v>
      </c>
      <c r="F7" s="9" t="s">
        <v>102</v>
      </c>
      <c r="G7" s="11" t="s">
        <v>55</v>
      </c>
      <c r="H7" s="11" t="s">
        <v>103</v>
      </c>
      <c r="I7" s="12" t="n">
        <v>260</v>
      </c>
      <c r="J7" s="13" t="str">
        <f aca="false">IF(I7="","Not counted",IF(I7&gt;=50,"Scaling (50+)",IF(I7&gt;=10,"Testing (10–49)",IF(I7&gt;=1,"Low (1–9)","No live ads"))))</f>
        <v>Scaling (50+)</v>
      </c>
      <c r="K7" s="12" t="n">
        <v>74</v>
      </c>
      <c r="L7" s="10" t="s">
        <v>104</v>
      </c>
      <c r="M7" s="10" t="s">
        <v>105</v>
      </c>
      <c r="N7" s="10" t="s">
        <v>106</v>
      </c>
      <c r="O7" s="14" t="n">
        <v>25.99</v>
      </c>
      <c r="P7" s="9" t="s">
        <v>79</v>
      </c>
      <c r="Q7" s="15" t="n">
        <f aca="false">IF(O7="","",O7*INDEX(FX!$B$5:$B$11,MATCH(P7,FX!$A$5:$A$11,0)))</f>
        <v>30.4083</v>
      </c>
      <c r="R7" s="16" t="n">
        <v>60</v>
      </c>
      <c r="S7" s="15" t="n">
        <f aca="false">IFERROR(Q7/R7,"")</f>
        <v>0.506805</v>
      </c>
      <c r="T7" s="10" t="s">
        <v>107</v>
      </c>
      <c r="U7" s="10" t="s">
        <v>81</v>
      </c>
      <c r="V7" s="17" t="s">
        <v>108</v>
      </c>
      <c r="W7" s="18" t="s">
        <v>109</v>
      </c>
      <c r="X7" s="19" t="s">
        <v>65</v>
      </c>
      <c r="Y7" s="20"/>
      <c r="Z7" s="18" t="s">
        <v>60</v>
      </c>
      <c r="AA7" s="21" t="str">
        <f aca="false">IF(Y7="","",Y7*INDEX(FX!$B$5:$B$11,MATCH(Z7,FX!$A$5:$A$11,0)))</f>
        <v/>
      </c>
      <c r="AB7" s="22" t="n">
        <v>60</v>
      </c>
      <c r="AC7" s="21" t="str">
        <f aca="false">IFERROR(AA7/AB7,"")</f>
        <v/>
      </c>
      <c r="AD7" s="23" t="n">
        <v>91</v>
      </c>
      <c r="AE7" s="24" t="s">
        <v>110</v>
      </c>
      <c r="AF7" s="24" t="s">
        <v>111</v>
      </c>
      <c r="AG7" s="19" t="s">
        <v>112</v>
      </c>
      <c r="AH7" s="24" t="s">
        <v>70</v>
      </c>
      <c r="AI7" s="25" t="s">
        <v>113</v>
      </c>
      <c r="AJ7" s="24" t="s">
        <v>114</v>
      </c>
    </row>
    <row r="8" customFormat="false" ht="15" hidden="false" customHeight="false" outlineLevel="0" collapsed="false">
      <c r="A8" s="9" t="n">
        <v>6</v>
      </c>
      <c r="B8" s="9" t="s">
        <v>99</v>
      </c>
      <c r="C8" s="9" t="s">
        <v>115</v>
      </c>
      <c r="D8" s="10" t="s">
        <v>116</v>
      </c>
      <c r="E8" s="9" t="s">
        <v>75</v>
      </c>
      <c r="F8" s="9" t="s">
        <v>102</v>
      </c>
      <c r="G8" s="11" t="s">
        <v>55</v>
      </c>
      <c r="H8" s="11" t="s">
        <v>117</v>
      </c>
      <c r="I8" s="12" t="n">
        <v>0</v>
      </c>
      <c r="J8" s="13" t="str">
        <f aca="false">IF(I8="","Not counted",IF(I8&gt;=50,"Scaling (50+)",IF(I8&gt;=10,"Testing (10–49)",IF(I8&gt;=1,"Low (1–9)","No live ads"))))</f>
        <v>No live ads</v>
      </c>
      <c r="K8" s="12" t="n">
        <v>0</v>
      </c>
      <c r="L8" s="10" t="s">
        <v>57</v>
      </c>
      <c r="M8" s="10" t="s">
        <v>70</v>
      </c>
      <c r="N8" s="10" t="s">
        <v>118</v>
      </c>
      <c r="O8" s="14" t="n">
        <v>17.99</v>
      </c>
      <c r="P8" s="9" t="s">
        <v>79</v>
      </c>
      <c r="Q8" s="15" t="n">
        <f aca="false">IF(O8="","",O8*INDEX(FX!$B$5:$B$11,MATCH(P8,FX!$A$5:$A$11,0)))</f>
        <v>21.0483</v>
      </c>
      <c r="R8" s="16" t="n">
        <v>60</v>
      </c>
      <c r="S8" s="15" t="n">
        <f aca="false">IFERROR(Q8/R8,"")</f>
        <v>0.350805</v>
      </c>
      <c r="T8" s="10" t="s">
        <v>119</v>
      </c>
      <c r="U8" s="10" t="s">
        <v>81</v>
      </c>
      <c r="V8" s="17" t="s">
        <v>108</v>
      </c>
      <c r="W8" s="18" t="s">
        <v>109</v>
      </c>
      <c r="X8" s="19" t="s">
        <v>65</v>
      </c>
      <c r="Y8" s="20"/>
      <c r="Z8" s="18" t="s">
        <v>60</v>
      </c>
      <c r="AA8" s="21" t="str">
        <f aca="false">IF(Y8="","",Y8*INDEX(FX!$B$5:$B$11,MATCH(Z8,FX!$A$5:$A$11,0)))</f>
        <v/>
      </c>
      <c r="AB8" s="22" t="n">
        <v>60</v>
      </c>
      <c r="AC8" s="21" t="str">
        <f aca="false">IFERROR(AA8/AB8,"")</f>
        <v/>
      </c>
      <c r="AD8" s="23" t="n">
        <v>91</v>
      </c>
      <c r="AE8" s="24" t="s">
        <v>110</v>
      </c>
      <c r="AF8" s="24" t="s">
        <v>111</v>
      </c>
      <c r="AG8" s="19" t="s">
        <v>112</v>
      </c>
      <c r="AH8" s="24" t="s">
        <v>70</v>
      </c>
      <c r="AI8" s="25" t="s">
        <v>113</v>
      </c>
      <c r="AJ8" s="24"/>
    </row>
    <row r="9" customFormat="false" ht="23.85" hidden="false" customHeight="false" outlineLevel="0" collapsed="false">
      <c r="A9" s="9" t="n">
        <v>7</v>
      </c>
      <c r="B9" s="9" t="s">
        <v>99</v>
      </c>
      <c r="C9" s="9" t="s">
        <v>120</v>
      </c>
      <c r="D9" s="10" t="s">
        <v>121</v>
      </c>
      <c r="E9" s="9" t="s">
        <v>75</v>
      </c>
      <c r="F9" s="9" t="s">
        <v>102</v>
      </c>
      <c r="G9" s="11" t="s">
        <v>55</v>
      </c>
      <c r="H9" s="11" t="s">
        <v>122</v>
      </c>
      <c r="I9" s="12" t="n">
        <v>45</v>
      </c>
      <c r="J9" s="13" t="str">
        <f aca="false">IF(I9="","Not counted",IF(I9&gt;=50,"Scaling (50+)",IF(I9&gt;=10,"Testing (10–49)",IF(I9&gt;=1,"Low (1–9)","No live ads"))))</f>
        <v>Testing (10–49)</v>
      </c>
      <c r="K9" s="12" t="n">
        <v>0</v>
      </c>
      <c r="L9" s="10" t="s">
        <v>57</v>
      </c>
      <c r="M9" s="10" t="s">
        <v>123</v>
      </c>
      <c r="N9" s="10" t="s">
        <v>124</v>
      </c>
      <c r="O9" s="14"/>
      <c r="P9" s="9" t="s">
        <v>79</v>
      </c>
      <c r="Q9" s="15" t="str">
        <f aca="false">IF(O9="","",O9*INDEX(FX!$B$5:$B$11,MATCH(P9,FX!$A$5:$A$11,0)))</f>
        <v/>
      </c>
      <c r="R9" s="16" t="n">
        <v>60</v>
      </c>
      <c r="S9" s="15" t="str">
        <f aca="false">IFERROR(Q9/R9,"")</f>
        <v/>
      </c>
      <c r="T9" s="10" t="s">
        <v>125</v>
      </c>
      <c r="U9" s="10" t="s">
        <v>81</v>
      </c>
      <c r="V9" s="17" t="s">
        <v>108</v>
      </c>
      <c r="W9" s="18" t="s">
        <v>109</v>
      </c>
      <c r="X9" s="19" t="s">
        <v>65</v>
      </c>
      <c r="Y9" s="20"/>
      <c r="Z9" s="18" t="s">
        <v>60</v>
      </c>
      <c r="AA9" s="21" t="str">
        <f aca="false">IF(Y9="","",Y9*INDEX(FX!$B$5:$B$11,MATCH(Z9,FX!$A$5:$A$11,0)))</f>
        <v/>
      </c>
      <c r="AB9" s="22" t="n">
        <v>60</v>
      </c>
      <c r="AC9" s="21" t="str">
        <f aca="false">IFERROR(AA9/AB9,"")</f>
        <v/>
      </c>
      <c r="AD9" s="23" t="n">
        <v>91</v>
      </c>
      <c r="AE9" s="24" t="s">
        <v>110</v>
      </c>
      <c r="AF9" s="24" t="s">
        <v>111</v>
      </c>
      <c r="AG9" s="19" t="s">
        <v>112</v>
      </c>
      <c r="AH9" s="24" t="s">
        <v>70</v>
      </c>
      <c r="AI9" s="25" t="s">
        <v>113</v>
      </c>
      <c r="AJ9" s="24" t="s">
        <v>82</v>
      </c>
    </row>
    <row r="10" customFormat="false" ht="23.85" hidden="false" customHeight="false" outlineLevel="0" collapsed="false">
      <c r="A10" s="9" t="n">
        <v>8</v>
      </c>
      <c r="B10" s="9" t="s">
        <v>99</v>
      </c>
      <c r="C10" s="9" t="s">
        <v>126</v>
      </c>
      <c r="D10" s="10" t="s">
        <v>127</v>
      </c>
      <c r="E10" s="9" t="s">
        <v>75</v>
      </c>
      <c r="F10" s="9" t="s">
        <v>128</v>
      </c>
      <c r="G10" s="11" t="s">
        <v>55</v>
      </c>
      <c r="H10" s="11" t="s">
        <v>129</v>
      </c>
      <c r="I10" s="12" t="n">
        <v>92</v>
      </c>
      <c r="J10" s="13" t="str">
        <f aca="false">IF(I10="","Not counted",IF(I10&gt;=50,"Scaling (50+)",IF(I10&gt;=10,"Testing (10–49)",IF(I10&gt;=1,"Low (1–9)","No live ads"))))</f>
        <v>Scaling (50+)</v>
      </c>
      <c r="K10" s="12" t="n">
        <v>0</v>
      </c>
      <c r="L10" s="10" t="s">
        <v>57</v>
      </c>
      <c r="M10" s="10" t="s">
        <v>130</v>
      </c>
      <c r="N10" s="10" t="s">
        <v>131</v>
      </c>
      <c r="O10" s="14" t="n">
        <v>12.95</v>
      </c>
      <c r="P10" s="9" t="s">
        <v>79</v>
      </c>
      <c r="Q10" s="15" t="n">
        <f aca="false">IF(O10="","",O10*INDEX(FX!$B$5:$B$11,MATCH(P10,FX!$A$5:$A$11,0)))</f>
        <v>15.1515</v>
      </c>
      <c r="R10" s="16" t="n">
        <v>60</v>
      </c>
      <c r="S10" s="15" t="n">
        <f aca="false">IFERROR(Q10/R10,"")</f>
        <v>0.252525</v>
      </c>
      <c r="T10" s="10" t="s">
        <v>132</v>
      </c>
      <c r="U10" s="10" t="s">
        <v>81</v>
      </c>
      <c r="V10" s="17" t="s">
        <v>108</v>
      </c>
      <c r="W10" s="18" t="s">
        <v>109</v>
      </c>
      <c r="X10" s="19" t="s">
        <v>65</v>
      </c>
      <c r="Y10" s="20"/>
      <c r="Z10" s="18" t="s">
        <v>60</v>
      </c>
      <c r="AA10" s="21" t="str">
        <f aca="false">IF(Y10="","",Y10*INDEX(FX!$B$5:$B$11,MATCH(Z10,FX!$A$5:$A$11,0)))</f>
        <v/>
      </c>
      <c r="AB10" s="22" t="n">
        <v>60</v>
      </c>
      <c r="AC10" s="21" t="str">
        <f aca="false">IFERROR(AA10/AB10,"")</f>
        <v/>
      </c>
      <c r="AD10" s="23" t="n">
        <v>91</v>
      </c>
      <c r="AE10" s="24" t="s">
        <v>110</v>
      </c>
      <c r="AF10" s="24" t="s">
        <v>111</v>
      </c>
      <c r="AG10" s="19" t="s">
        <v>112</v>
      </c>
      <c r="AH10" s="24" t="s">
        <v>70</v>
      </c>
      <c r="AI10" s="25" t="s">
        <v>113</v>
      </c>
      <c r="AJ10" s="24" t="s">
        <v>133</v>
      </c>
    </row>
    <row r="11" customFormat="false" ht="23.85" hidden="false" customHeight="false" outlineLevel="0" collapsed="false">
      <c r="A11" s="9" t="n">
        <v>9</v>
      </c>
      <c r="B11" s="9" t="s">
        <v>99</v>
      </c>
      <c r="C11" s="9" t="s">
        <v>134</v>
      </c>
      <c r="D11" s="10" t="s">
        <v>135</v>
      </c>
      <c r="E11" s="9" t="s">
        <v>136</v>
      </c>
      <c r="F11" s="9" t="s">
        <v>137</v>
      </c>
      <c r="G11" s="11" t="s">
        <v>55</v>
      </c>
      <c r="H11" s="11" t="s">
        <v>138</v>
      </c>
      <c r="I11" s="12" t="n">
        <v>210</v>
      </c>
      <c r="J11" s="13" t="str">
        <f aca="false">IF(I11="","Not counted",IF(I11&gt;=50,"Scaling (50+)",IF(I11&gt;=10,"Testing (10–49)",IF(I11&gt;=1,"Low (1–9)","No live ads"))))</f>
        <v>Scaling (50+)</v>
      </c>
      <c r="K11" s="12" t="n">
        <v>13</v>
      </c>
      <c r="L11" s="10" t="s">
        <v>139</v>
      </c>
      <c r="M11" s="10" t="s">
        <v>140</v>
      </c>
      <c r="N11" s="10" t="s">
        <v>141</v>
      </c>
      <c r="O11" s="14" t="n">
        <v>24.99</v>
      </c>
      <c r="P11" s="9" t="s">
        <v>79</v>
      </c>
      <c r="Q11" s="15" t="n">
        <f aca="false">IF(O11="","",O11*INDEX(FX!$B$5:$B$11,MATCH(P11,FX!$A$5:$A$11,0)))</f>
        <v>29.2383</v>
      </c>
      <c r="R11" s="16" t="n">
        <v>60</v>
      </c>
      <c r="S11" s="15" t="n">
        <f aca="false">IFERROR(Q11/R11,"")</f>
        <v>0.487305</v>
      </c>
      <c r="T11" s="10" t="s">
        <v>142</v>
      </c>
      <c r="U11" s="10" t="s">
        <v>143</v>
      </c>
      <c r="V11" s="17" t="s">
        <v>108</v>
      </c>
      <c r="W11" s="18" t="s">
        <v>109</v>
      </c>
      <c r="X11" s="19" t="s">
        <v>65</v>
      </c>
      <c r="Y11" s="20"/>
      <c r="Z11" s="18" t="s">
        <v>60</v>
      </c>
      <c r="AA11" s="21" t="str">
        <f aca="false">IF(Y11="","",Y11*INDEX(FX!$B$5:$B$11,MATCH(Z11,FX!$A$5:$A$11,0)))</f>
        <v/>
      </c>
      <c r="AB11" s="22" t="n">
        <v>60</v>
      </c>
      <c r="AC11" s="21" t="str">
        <f aca="false">IFERROR(AA11/AB11,"")</f>
        <v/>
      </c>
      <c r="AD11" s="23" t="n">
        <v>91</v>
      </c>
      <c r="AE11" s="24" t="s">
        <v>110</v>
      </c>
      <c r="AF11" s="24" t="s">
        <v>111</v>
      </c>
      <c r="AG11" s="19" t="s">
        <v>112</v>
      </c>
      <c r="AH11" s="24" t="s">
        <v>70</v>
      </c>
      <c r="AI11" s="25" t="s">
        <v>113</v>
      </c>
      <c r="AJ11" s="24" t="s">
        <v>144</v>
      </c>
    </row>
    <row r="12" customFormat="false" ht="35.05" hidden="false" customHeight="false" outlineLevel="0" collapsed="false">
      <c r="A12" s="9" t="n">
        <v>10</v>
      </c>
      <c r="B12" s="9" t="s">
        <v>145</v>
      </c>
      <c r="C12" s="9" t="s">
        <v>102</v>
      </c>
      <c r="D12" s="10" t="s">
        <v>146</v>
      </c>
      <c r="E12" s="9" t="s">
        <v>75</v>
      </c>
      <c r="F12" s="9" t="s">
        <v>102</v>
      </c>
      <c r="G12" s="11" t="s">
        <v>55</v>
      </c>
      <c r="H12" s="11" t="s">
        <v>147</v>
      </c>
      <c r="I12" s="12" t="n">
        <v>1000</v>
      </c>
      <c r="J12" s="13" t="str">
        <f aca="false">IF(I12="","Not counted",IF(I12&gt;=50,"Scaling (50+)",IF(I12&gt;=10,"Testing (10–49)",IF(I12&gt;=1,"Low (1–9)","No live ads"))))</f>
        <v>Scaling (50+)</v>
      </c>
      <c r="K12" s="12" t="n">
        <v>9</v>
      </c>
      <c r="L12" s="10" t="s">
        <v>148</v>
      </c>
      <c r="M12" s="10" t="s">
        <v>149</v>
      </c>
      <c r="N12" s="10" t="s">
        <v>150</v>
      </c>
      <c r="O12" s="14" t="n">
        <v>16.99</v>
      </c>
      <c r="P12" s="9" t="s">
        <v>79</v>
      </c>
      <c r="Q12" s="15" t="n">
        <f aca="false">IF(O12="","",O12*INDEX(FX!$B$5:$B$11,MATCH(P12,FX!$A$5:$A$11,0)))</f>
        <v>19.8783</v>
      </c>
      <c r="R12" s="16" t="n">
        <v>60</v>
      </c>
      <c r="S12" s="15" t="n">
        <f aca="false">IFERROR(Q12/R12,"")</f>
        <v>0.331305</v>
      </c>
      <c r="T12" s="10" t="s">
        <v>151</v>
      </c>
      <c r="U12" s="10" t="s">
        <v>152</v>
      </c>
      <c r="V12" s="26" t="s">
        <v>153</v>
      </c>
      <c r="W12" s="18" t="s">
        <v>70</v>
      </c>
      <c r="X12" s="18" t="s">
        <v>70</v>
      </c>
      <c r="Y12" s="20"/>
      <c r="Z12" s="18"/>
      <c r="AA12" s="21" t="str">
        <f aca="false">IF(Y12="","",Y12*INDEX(FX!$B$5:$B$11,MATCH(Z12,FX!$A$5:$A$11,0)))</f>
        <v/>
      </c>
      <c r="AB12" s="22"/>
      <c r="AC12" s="21" t="str">
        <f aca="false">IFERROR(AA12/AB12,"")</f>
        <v/>
      </c>
      <c r="AD12" s="23" t="n">
        <v>1152</v>
      </c>
      <c r="AE12" s="24" t="s">
        <v>154</v>
      </c>
      <c r="AF12" s="24" t="s">
        <v>155</v>
      </c>
      <c r="AG12" s="19" t="s">
        <v>156</v>
      </c>
      <c r="AH12" s="24" t="s">
        <v>70</v>
      </c>
      <c r="AI12" s="25" t="s">
        <v>113</v>
      </c>
      <c r="AJ12" s="24" t="s">
        <v>157</v>
      </c>
    </row>
    <row r="13" customFormat="false" ht="35.05" hidden="false" customHeight="false" outlineLevel="0" collapsed="false">
      <c r="A13" s="9" t="n">
        <v>11</v>
      </c>
      <c r="B13" s="9" t="s">
        <v>145</v>
      </c>
      <c r="C13" s="9" t="s">
        <v>120</v>
      </c>
      <c r="D13" s="10" t="s">
        <v>158</v>
      </c>
      <c r="E13" s="9" t="s">
        <v>159</v>
      </c>
      <c r="F13" s="9" t="s">
        <v>160</v>
      </c>
      <c r="G13" s="11" t="s">
        <v>55</v>
      </c>
      <c r="H13" s="11" t="s">
        <v>122</v>
      </c>
      <c r="I13" s="12" t="n">
        <v>45</v>
      </c>
      <c r="J13" s="13" t="str">
        <f aca="false">IF(I13="","Not counted",IF(I13&gt;=50,"Scaling (50+)",IF(I13&gt;=10,"Testing (10–49)",IF(I13&gt;=1,"Low (1–9)","No live ads"))))</f>
        <v>Testing (10–49)</v>
      </c>
      <c r="K13" s="12" t="n">
        <v>0</v>
      </c>
      <c r="L13" s="10" t="s">
        <v>57</v>
      </c>
      <c r="M13" s="10" t="s">
        <v>123</v>
      </c>
      <c r="N13" s="10" t="s">
        <v>124</v>
      </c>
      <c r="O13" s="14" t="n">
        <v>19.99</v>
      </c>
      <c r="P13" s="9" t="s">
        <v>79</v>
      </c>
      <c r="Q13" s="15" t="n">
        <f aca="false">IF(O13="","",O13*INDEX(FX!$B$5:$B$11,MATCH(P13,FX!$A$5:$A$11,0)))</f>
        <v>23.3883</v>
      </c>
      <c r="R13" s="16" t="n">
        <v>60</v>
      </c>
      <c r="S13" s="15" t="n">
        <f aca="false">IFERROR(Q13/R13,"")</f>
        <v>0.389805</v>
      </c>
      <c r="T13" s="10" t="s">
        <v>161</v>
      </c>
      <c r="U13" s="10" t="s">
        <v>81</v>
      </c>
      <c r="V13" s="26" t="s">
        <v>153</v>
      </c>
      <c r="W13" s="18" t="s">
        <v>70</v>
      </c>
      <c r="X13" s="18" t="s">
        <v>70</v>
      </c>
      <c r="Y13" s="20"/>
      <c r="Z13" s="18"/>
      <c r="AA13" s="21" t="str">
        <f aca="false">IF(Y13="","",Y13*INDEX(FX!$B$5:$B$11,MATCH(Z13,FX!$A$5:$A$11,0)))</f>
        <v/>
      </c>
      <c r="AB13" s="22"/>
      <c r="AC13" s="21" t="str">
        <f aca="false">IFERROR(AA13/AB13,"")</f>
        <v/>
      </c>
      <c r="AD13" s="23" t="n">
        <v>1152</v>
      </c>
      <c r="AE13" s="24" t="s">
        <v>154</v>
      </c>
      <c r="AF13" s="24" t="s">
        <v>155</v>
      </c>
      <c r="AG13" s="19" t="s">
        <v>156</v>
      </c>
      <c r="AH13" s="24" t="s">
        <v>70</v>
      </c>
      <c r="AI13" s="25" t="s">
        <v>113</v>
      </c>
      <c r="AJ13" s="24" t="s">
        <v>162</v>
      </c>
    </row>
    <row r="14" customFormat="false" ht="46.25" hidden="false" customHeight="false" outlineLevel="0" collapsed="false">
      <c r="A14" s="9" t="n">
        <v>12</v>
      </c>
      <c r="B14" s="9" t="s">
        <v>163</v>
      </c>
      <c r="C14" s="9" t="s">
        <v>164</v>
      </c>
      <c r="D14" s="10" t="s">
        <v>165</v>
      </c>
      <c r="E14" s="9" t="s">
        <v>85</v>
      </c>
      <c r="F14" s="9" t="s">
        <v>86</v>
      </c>
      <c r="G14" s="11" t="s">
        <v>55</v>
      </c>
      <c r="H14" s="11" t="s">
        <v>166</v>
      </c>
      <c r="I14" s="12" t="n">
        <v>65</v>
      </c>
      <c r="J14" s="13" t="str">
        <f aca="false">IF(I14="","Not counted",IF(I14&gt;=50,"Scaling (50+)",IF(I14&gt;=10,"Testing (10–49)",IF(I14&gt;=1,"Low (1–9)","No live ads"))))</f>
        <v>Scaling (50+)</v>
      </c>
      <c r="K14" s="12" t="n">
        <v>5</v>
      </c>
      <c r="L14" s="10" t="s">
        <v>167</v>
      </c>
      <c r="M14" s="10" t="s">
        <v>168</v>
      </c>
      <c r="N14" s="10" t="s">
        <v>169</v>
      </c>
      <c r="O14" s="14" t="n">
        <v>18.69</v>
      </c>
      <c r="P14" s="9" t="s">
        <v>60</v>
      </c>
      <c r="Q14" s="15" t="n">
        <f aca="false">IF(O14="","",O14*INDEX(FX!$B$5:$B$11,MATCH(P14,FX!$A$5:$A$11,0)))</f>
        <v>18.69</v>
      </c>
      <c r="R14" s="16" t="n">
        <v>60</v>
      </c>
      <c r="S14" s="15" t="n">
        <f aca="false">IFERROR(Q14/R14,"")</f>
        <v>0.3115</v>
      </c>
      <c r="T14" s="10" t="s">
        <v>170</v>
      </c>
      <c r="U14" s="10" t="s">
        <v>171</v>
      </c>
      <c r="V14" s="17" t="s">
        <v>172</v>
      </c>
      <c r="W14" s="18" t="s">
        <v>173</v>
      </c>
      <c r="X14" s="19" t="s">
        <v>65</v>
      </c>
      <c r="Y14" s="20" t="n">
        <v>120.22</v>
      </c>
      <c r="Z14" s="18" t="s">
        <v>66</v>
      </c>
      <c r="AA14" s="21" t="n">
        <f aca="false">IF(Y14="","",Y14*INDEX(FX!$B$5:$B$11,MATCH(Z14,FX!$A$5:$A$11,0)))</f>
        <v>28.2517</v>
      </c>
      <c r="AB14" s="22" t="n">
        <v>60</v>
      </c>
      <c r="AC14" s="21" t="n">
        <f aca="false">IFERROR(AA14/AB14,"")</f>
        <v>0.470861666666667</v>
      </c>
      <c r="AD14" s="23" t="n">
        <v>8080</v>
      </c>
      <c r="AE14" s="24" t="s">
        <v>174</v>
      </c>
      <c r="AF14" s="24" t="s">
        <v>175</v>
      </c>
      <c r="AG14" s="19" t="s">
        <v>176</v>
      </c>
      <c r="AH14" s="24" t="s">
        <v>177</v>
      </c>
      <c r="AI14" s="25" t="s">
        <v>178</v>
      </c>
      <c r="AJ14" s="24" t="s">
        <v>179</v>
      </c>
    </row>
    <row r="15" customFormat="false" ht="35.05" hidden="false" customHeight="false" outlineLevel="0" collapsed="false">
      <c r="A15" s="9" t="n">
        <v>13</v>
      </c>
      <c r="B15" s="9" t="s">
        <v>163</v>
      </c>
      <c r="C15" s="9" t="s">
        <v>180</v>
      </c>
      <c r="D15" s="10" t="s">
        <v>181</v>
      </c>
      <c r="E15" s="9" t="s">
        <v>53</v>
      </c>
      <c r="F15" s="9" t="s">
        <v>182</v>
      </c>
      <c r="G15" s="11" t="s">
        <v>55</v>
      </c>
      <c r="H15" s="11" t="s">
        <v>183</v>
      </c>
      <c r="I15" s="12" t="n">
        <v>0</v>
      </c>
      <c r="J15" s="13" t="str">
        <f aca="false">IF(I15="","Not counted",IF(I15&gt;=50,"Scaling (50+)",IF(I15&gt;=10,"Testing (10–49)",IF(I15&gt;=1,"Low (1–9)","No live ads"))))</f>
        <v>No live ads</v>
      </c>
      <c r="K15" s="12" t="n">
        <v>0</v>
      </c>
      <c r="L15" s="10" t="s">
        <v>57</v>
      </c>
      <c r="M15" s="10" t="s">
        <v>70</v>
      </c>
      <c r="N15" s="10" t="s">
        <v>184</v>
      </c>
      <c r="O15" s="14"/>
      <c r="P15" s="9" t="s">
        <v>60</v>
      </c>
      <c r="Q15" s="15" t="str">
        <f aca="false">IF(O15="","",O15*INDEX(FX!$B$5:$B$11,MATCH(P15,FX!$A$5:$A$11,0)))</f>
        <v/>
      </c>
      <c r="R15" s="16" t="n">
        <v>60</v>
      </c>
      <c r="S15" s="15" t="str">
        <f aca="false">IFERROR(Q15/R15,"")</f>
        <v/>
      </c>
      <c r="T15" s="10" t="s">
        <v>185</v>
      </c>
      <c r="U15" s="10" t="s">
        <v>186</v>
      </c>
      <c r="V15" s="17" t="s">
        <v>172</v>
      </c>
      <c r="W15" s="18" t="s">
        <v>173</v>
      </c>
      <c r="X15" s="19" t="s">
        <v>65</v>
      </c>
      <c r="Y15" s="20" t="n">
        <v>120.22</v>
      </c>
      <c r="Z15" s="18" t="s">
        <v>66</v>
      </c>
      <c r="AA15" s="21" t="n">
        <f aca="false">IF(Y15="","",Y15*INDEX(FX!$B$5:$B$11,MATCH(Z15,FX!$A$5:$A$11,0)))</f>
        <v>28.2517</v>
      </c>
      <c r="AB15" s="22" t="n">
        <v>60</v>
      </c>
      <c r="AC15" s="21" t="n">
        <f aca="false">IFERROR(AA15/AB15,"")</f>
        <v>0.470861666666667</v>
      </c>
      <c r="AD15" s="23" t="n">
        <v>8080</v>
      </c>
      <c r="AE15" s="24" t="s">
        <v>174</v>
      </c>
      <c r="AF15" s="24" t="s">
        <v>175</v>
      </c>
      <c r="AG15" s="19" t="s">
        <v>176</v>
      </c>
      <c r="AH15" s="24" t="s">
        <v>177</v>
      </c>
      <c r="AI15" s="25" t="s">
        <v>178</v>
      </c>
      <c r="AJ15" s="24" t="s">
        <v>82</v>
      </c>
    </row>
    <row r="16" customFormat="false" ht="35.05" hidden="false" customHeight="false" outlineLevel="0" collapsed="false">
      <c r="A16" s="9" t="n">
        <v>14</v>
      </c>
      <c r="B16" s="9" t="s">
        <v>187</v>
      </c>
      <c r="C16" s="9" t="s">
        <v>188</v>
      </c>
      <c r="D16" s="10" t="s">
        <v>189</v>
      </c>
      <c r="E16" s="9" t="s">
        <v>190</v>
      </c>
      <c r="F16" s="9" t="s">
        <v>191</v>
      </c>
      <c r="G16" s="11" t="s">
        <v>55</v>
      </c>
      <c r="H16" s="11" t="s">
        <v>192</v>
      </c>
      <c r="I16" s="12" t="n">
        <v>2</v>
      </c>
      <c r="J16" s="13" t="str">
        <f aca="false">IF(I16="","Not counted",IF(I16&gt;=50,"Scaling (50+)",IF(I16&gt;=10,"Testing (10–49)",IF(I16&gt;=1,"Low (1–9)","No live ads"))))</f>
        <v>Low (1–9)</v>
      </c>
      <c r="K16" s="12" t="n">
        <v>0</v>
      </c>
      <c r="L16" s="10" t="s">
        <v>57</v>
      </c>
      <c r="M16" s="10" t="s">
        <v>193</v>
      </c>
      <c r="N16" s="10" t="s">
        <v>194</v>
      </c>
      <c r="O16" s="14"/>
      <c r="P16" s="9" t="s">
        <v>79</v>
      </c>
      <c r="Q16" s="15" t="str">
        <f aca="false">IF(O16="","",O16*INDEX(FX!$B$5:$B$11,MATCH(P16,FX!$A$5:$A$11,0)))</f>
        <v/>
      </c>
      <c r="R16" s="16" t="n">
        <v>60</v>
      </c>
      <c r="S16" s="15" t="str">
        <f aca="false">IFERROR(Q16/R16,"")</f>
        <v/>
      </c>
      <c r="T16" s="10" t="s">
        <v>195</v>
      </c>
      <c r="U16" s="10" t="s">
        <v>196</v>
      </c>
      <c r="V16" s="26" t="s">
        <v>153</v>
      </c>
      <c r="W16" s="18" t="s">
        <v>70</v>
      </c>
      <c r="X16" s="18" t="s">
        <v>70</v>
      </c>
      <c r="Y16" s="20"/>
      <c r="Z16" s="18"/>
      <c r="AA16" s="21" t="str">
        <f aca="false">IF(Y16="","",Y16*INDEX(FX!$B$5:$B$11,MATCH(Z16,FX!$A$5:$A$11,0)))</f>
        <v/>
      </c>
      <c r="AB16" s="22"/>
      <c r="AC16" s="21" t="str">
        <f aca="false">IFERROR(AA16/AB16,"")</f>
        <v/>
      </c>
      <c r="AD16" s="23" t="n">
        <v>1373</v>
      </c>
      <c r="AE16" s="24" t="s">
        <v>197</v>
      </c>
      <c r="AF16" s="24" t="s">
        <v>198</v>
      </c>
      <c r="AG16" s="19" t="s">
        <v>199</v>
      </c>
      <c r="AH16" s="24" t="s">
        <v>70</v>
      </c>
      <c r="AI16" s="25" t="s">
        <v>200</v>
      </c>
      <c r="AJ16" s="24" t="s">
        <v>201</v>
      </c>
    </row>
    <row r="17" customFormat="false" ht="35.05" hidden="false" customHeight="false" outlineLevel="0" collapsed="false">
      <c r="A17" s="9" t="n">
        <v>15</v>
      </c>
      <c r="B17" s="9" t="s">
        <v>202</v>
      </c>
      <c r="C17" s="9" t="s">
        <v>203</v>
      </c>
      <c r="D17" s="10" t="s">
        <v>204</v>
      </c>
      <c r="E17" s="9" t="s">
        <v>75</v>
      </c>
      <c r="F17" s="9" t="s">
        <v>205</v>
      </c>
      <c r="G17" s="11" t="s">
        <v>55</v>
      </c>
      <c r="H17" s="11" t="s">
        <v>206</v>
      </c>
      <c r="I17" s="12" t="n">
        <v>4</v>
      </c>
      <c r="J17" s="13" t="str">
        <f aca="false">IF(I17="","Not counted",IF(I17&gt;=50,"Scaling (50+)",IF(I17&gt;=10,"Testing (10–49)",IF(I17&gt;=1,"Low (1–9)","No live ads"))))</f>
        <v>Low (1–9)</v>
      </c>
      <c r="K17" s="12" t="n">
        <v>0</v>
      </c>
      <c r="L17" s="10" t="s">
        <v>57</v>
      </c>
      <c r="M17" s="10" t="s">
        <v>207</v>
      </c>
      <c r="N17" s="10" t="s">
        <v>208</v>
      </c>
      <c r="O17" s="14" t="n">
        <v>24.51</v>
      </c>
      <c r="P17" s="9" t="s">
        <v>79</v>
      </c>
      <c r="Q17" s="15" t="n">
        <f aca="false">IF(O17="","",O17*INDEX(FX!$B$5:$B$11,MATCH(P17,FX!$A$5:$A$11,0)))</f>
        <v>28.6767</v>
      </c>
      <c r="R17" s="16" t="n">
        <v>42</v>
      </c>
      <c r="S17" s="15" t="n">
        <f aca="false">IFERROR(Q17/R17,"")</f>
        <v>0.682778571428572</v>
      </c>
      <c r="T17" s="10" t="s">
        <v>209</v>
      </c>
      <c r="U17" s="10" t="s">
        <v>210</v>
      </c>
      <c r="V17" s="26" t="s">
        <v>153</v>
      </c>
      <c r="W17" s="18" t="s">
        <v>70</v>
      </c>
      <c r="X17" s="18" t="s">
        <v>70</v>
      </c>
      <c r="Y17" s="20"/>
      <c r="Z17" s="18"/>
      <c r="AA17" s="21" t="str">
        <f aca="false">IF(Y17="","",Y17*INDEX(FX!$B$5:$B$11,MATCH(Z17,FX!$A$5:$A$11,0)))</f>
        <v/>
      </c>
      <c r="AB17" s="22"/>
      <c r="AC17" s="21" t="str">
        <f aca="false">IFERROR(AA17/AB17,"")</f>
        <v/>
      </c>
      <c r="AD17" s="23" t="n">
        <v>1580</v>
      </c>
      <c r="AE17" s="24" t="s">
        <v>211</v>
      </c>
      <c r="AF17" s="24" t="s">
        <v>212</v>
      </c>
      <c r="AG17" s="19" t="s">
        <v>213</v>
      </c>
      <c r="AH17" s="24" t="s">
        <v>70</v>
      </c>
      <c r="AI17" s="25" t="s">
        <v>200</v>
      </c>
      <c r="AJ17" s="24" t="s">
        <v>214</v>
      </c>
    </row>
    <row r="18" customFormat="false" ht="35.05" hidden="false" customHeight="false" outlineLevel="0" collapsed="false">
      <c r="A18" s="9" t="n">
        <v>16</v>
      </c>
      <c r="B18" s="9" t="s">
        <v>202</v>
      </c>
      <c r="C18" s="9" t="s">
        <v>215</v>
      </c>
      <c r="D18" s="10" t="s">
        <v>216</v>
      </c>
      <c r="E18" s="9" t="s">
        <v>75</v>
      </c>
      <c r="F18" s="9" t="s">
        <v>217</v>
      </c>
      <c r="G18" s="11" t="s">
        <v>55</v>
      </c>
      <c r="H18" s="11" t="s">
        <v>218</v>
      </c>
      <c r="I18" s="12" t="n">
        <v>2</v>
      </c>
      <c r="J18" s="13" t="str">
        <f aca="false">IF(I18="","Not counted",IF(I18&gt;=50,"Scaling (50+)",IF(I18&gt;=10,"Testing (10–49)",IF(I18&gt;=1,"Low (1–9)","No live ads"))))</f>
        <v>Low (1–9)</v>
      </c>
      <c r="K18" s="12" t="n">
        <v>0</v>
      </c>
      <c r="L18" s="10" t="s">
        <v>57</v>
      </c>
      <c r="M18" s="10" t="s">
        <v>219</v>
      </c>
      <c r="N18" s="10" t="s">
        <v>220</v>
      </c>
      <c r="O18" s="14"/>
      <c r="P18" s="9" t="s">
        <v>79</v>
      </c>
      <c r="Q18" s="15" t="str">
        <f aca="false">IF(O18="","",O18*INDEX(FX!$B$5:$B$11,MATCH(P18,FX!$A$5:$A$11,0)))</f>
        <v/>
      </c>
      <c r="R18" s="16" t="n">
        <v>60</v>
      </c>
      <c r="S18" s="15" t="str">
        <f aca="false">IFERROR(Q18/R18,"")</f>
        <v/>
      </c>
      <c r="T18" s="10" t="s">
        <v>221</v>
      </c>
      <c r="U18" s="10" t="s">
        <v>222</v>
      </c>
      <c r="V18" s="26" t="s">
        <v>153</v>
      </c>
      <c r="W18" s="18" t="s">
        <v>70</v>
      </c>
      <c r="X18" s="18" t="s">
        <v>70</v>
      </c>
      <c r="Y18" s="20"/>
      <c r="Z18" s="18"/>
      <c r="AA18" s="21" t="str">
        <f aca="false">IF(Y18="","",Y18*INDEX(FX!$B$5:$B$11,MATCH(Z18,FX!$A$5:$A$11,0)))</f>
        <v/>
      </c>
      <c r="AB18" s="22"/>
      <c r="AC18" s="21" t="str">
        <f aca="false">IFERROR(AA18/AB18,"")</f>
        <v/>
      </c>
      <c r="AD18" s="23" t="n">
        <v>1580</v>
      </c>
      <c r="AE18" s="24" t="s">
        <v>211</v>
      </c>
      <c r="AF18" s="24" t="s">
        <v>212</v>
      </c>
      <c r="AG18" s="19" t="s">
        <v>213</v>
      </c>
      <c r="AH18" s="24" t="s">
        <v>70</v>
      </c>
      <c r="AI18" s="25" t="s">
        <v>200</v>
      </c>
      <c r="AJ18" s="24" t="s">
        <v>82</v>
      </c>
    </row>
    <row r="19" customFormat="false" ht="35.05" hidden="false" customHeight="false" outlineLevel="0" collapsed="false">
      <c r="A19" s="9" t="n">
        <v>17</v>
      </c>
      <c r="B19" s="9" t="s">
        <v>223</v>
      </c>
      <c r="C19" s="9" t="s">
        <v>51</v>
      </c>
      <c r="D19" s="10" t="s">
        <v>224</v>
      </c>
      <c r="E19" s="9" t="s">
        <v>225</v>
      </c>
      <c r="F19" s="9" t="s">
        <v>226</v>
      </c>
      <c r="G19" s="11" t="s">
        <v>55</v>
      </c>
      <c r="H19" s="11" t="s">
        <v>56</v>
      </c>
      <c r="I19" s="12" t="n">
        <v>620</v>
      </c>
      <c r="J19" s="13" t="str">
        <f aca="false">IF(I19="","Not counted",IF(I19&gt;=50,"Scaling (50+)",IF(I19&gt;=10,"Testing (10–49)",IF(I19&gt;=1,"Low (1–9)","No live ads"))))</f>
        <v>Scaling (50+)</v>
      </c>
      <c r="K19" s="12" t="n">
        <v>0</v>
      </c>
      <c r="L19" s="10" t="s">
        <v>57</v>
      </c>
      <c r="M19" s="10" t="s">
        <v>58</v>
      </c>
      <c r="N19" s="10" t="s">
        <v>59</v>
      </c>
      <c r="O19" s="14" t="n">
        <v>14.9</v>
      </c>
      <c r="P19" s="9" t="s">
        <v>60</v>
      </c>
      <c r="Q19" s="15" t="n">
        <f aca="false">IF(O19="","",O19*INDEX(FX!$B$5:$B$11,MATCH(P19,FX!$A$5:$A$11,0)))</f>
        <v>14.9</v>
      </c>
      <c r="R19" s="16" t="n">
        <v>45</v>
      </c>
      <c r="S19" s="15" t="n">
        <f aca="false">IFERROR(Q19/R19,"")</f>
        <v>0.331111111111111</v>
      </c>
      <c r="T19" s="10" t="s">
        <v>227</v>
      </c>
      <c r="U19" s="10" t="s">
        <v>62</v>
      </c>
      <c r="V19" s="17" t="s">
        <v>228</v>
      </c>
      <c r="W19" s="18" t="s">
        <v>229</v>
      </c>
      <c r="X19" s="19" t="s">
        <v>65</v>
      </c>
      <c r="Y19" s="20"/>
      <c r="Z19" s="18" t="s">
        <v>60</v>
      </c>
      <c r="AA19" s="21" t="str">
        <f aca="false">IF(Y19="","",Y19*INDEX(FX!$B$5:$B$11,MATCH(Z19,FX!$A$5:$A$11,0)))</f>
        <v/>
      </c>
      <c r="AB19" s="22" t="n">
        <v>60</v>
      </c>
      <c r="AC19" s="21" t="str">
        <f aca="false">IFERROR(AA19/AB19,"")</f>
        <v/>
      </c>
      <c r="AD19" s="23" t="n">
        <v>1680</v>
      </c>
      <c r="AE19" s="24" t="s">
        <v>230</v>
      </c>
      <c r="AF19" s="24" t="s">
        <v>231</v>
      </c>
      <c r="AG19" s="19" t="s">
        <v>232</v>
      </c>
      <c r="AH19" s="24" t="s">
        <v>233</v>
      </c>
      <c r="AI19" s="25" t="s">
        <v>234</v>
      </c>
      <c r="AJ19" s="24" t="s">
        <v>235</v>
      </c>
    </row>
    <row r="20" customFormat="false" ht="35.05" hidden="false" customHeight="false" outlineLevel="0" collapsed="false">
      <c r="A20" s="9" t="n">
        <v>18</v>
      </c>
      <c r="B20" s="9" t="s">
        <v>223</v>
      </c>
      <c r="C20" s="9" t="s">
        <v>236</v>
      </c>
      <c r="D20" s="10" t="s">
        <v>237</v>
      </c>
      <c r="E20" s="9" t="s">
        <v>238</v>
      </c>
      <c r="F20" s="9" t="s">
        <v>239</v>
      </c>
      <c r="G20" s="11" t="s">
        <v>55</v>
      </c>
      <c r="H20" s="11" t="s">
        <v>240</v>
      </c>
      <c r="I20" s="12" t="n">
        <v>320</v>
      </c>
      <c r="J20" s="13" t="str">
        <f aca="false">IF(I20="","Not counted",IF(I20&gt;=50,"Scaling (50+)",IF(I20&gt;=10,"Testing (10–49)",IF(I20&gt;=1,"Low (1–9)","No live ads"))))</f>
        <v>Scaling (50+)</v>
      </c>
      <c r="K20" s="12" t="n">
        <v>276</v>
      </c>
      <c r="L20" s="10" t="s">
        <v>241</v>
      </c>
      <c r="M20" s="10" t="s">
        <v>242</v>
      </c>
      <c r="N20" s="10" t="s">
        <v>243</v>
      </c>
      <c r="O20" s="14" t="n">
        <v>33.95</v>
      </c>
      <c r="P20" s="9" t="s">
        <v>244</v>
      </c>
      <c r="Q20" s="15" t="n">
        <f aca="false">IF(O20="","",O20*INDEX(FX!$B$5:$B$11,MATCH(P20,FX!$A$5:$A$11,0)))</f>
        <v>36.3265</v>
      </c>
      <c r="R20" s="16" t="n">
        <v>60</v>
      </c>
      <c r="S20" s="15" t="n">
        <f aca="false">IFERROR(Q20/R20,"")</f>
        <v>0.605441666666667</v>
      </c>
      <c r="T20" s="10" t="s">
        <v>245</v>
      </c>
      <c r="U20" s="10" t="s">
        <v>246</v>
      </c>
      <c r="V20" s="17" t="s">
        <v>228</v>
      </c>
      <c r="W20" s="18" t="s">
        <v>229</v>
      </c>
      <c r="X20" s="19" t="s">
        <v>65</v>
      </c>
      <c r="Y20" s="20"/>
      <c r="Z20" s="18" t="s">
        <v>60</v>
      </c>
      <c r="AA20" s="21" t="str">
        <f aca="false">IF(Y20="","",Y20*INDEX(FX!$B$5:$B$11,MATCH(Z20,FX!$A$5:$A$11,0)))</f>
        <v/>
      </c>
      <c r="AB20" s="22" t="n">
        <v>60</v>
      </c>
      <c r="AC20" s="21" t="str">
        <f aca="false">IFERROR(AA20/AB20,"")</f>
        <v/>
      </c>
      <c r="AD20" s="23" t="n">
        <v>1680</v>
      </c>
      <c r="AE20" s="24" t="s">
        <v>230</v>
      </c>
      <c r="AF20" s="24" t="s">
        <v>231</v>
      </c>
      <c r="AG20" s="19" t="s">
        <v>232</v>
      </c>
      <c r="AH20" s="24" t="s">
        <v>233</v>
      </c>
      <c r="AI20" s="25" t="s">
        <v>234</v>
      </c>
      <c r="AJ20" s="24" t="s">
        <v>247</v>
      </c>
    </row>
    <row r="21" customFormat="false" ht="46.25" hidden="false" customHeight="false" outlineLevel="0" collapsed="false">
      <c r="A21" s="9" t="n">
        <v>19</v>
      </c>
      <c r="B21" s="9" t="s">
        <v>248</v>
      </c>
      <c r="C21" s="9" t="s">
        <v>249</v>
      </c>
      <c r="D21" s="10" t="s">
        <v>250</v>
      </c>
      <c r="E21" s="9" t="s">
        <v>75</v>
      </c>
      <c r="F21" s="9" t="s">
        <v>102</v>
      </c>
      <c r="G21" s="11" t="s">
        <v>55</v>
      </c>
      <c r="H21" s="11" t="s">
        <v>251</v>
      </c>
      <c r="I21" s="12" t="n">
        <v>620</v>
      </c>
      <c r="J21" s="13" t="str">
        <f aca="false">IF(I21="","Not counted",IF(I21&gt;=50,"Scaling (50+)",IF(I21&gt;=10,"Testing (10–49)",IF(I21&gt;=1,"Low (1–9)","No live ads"))))</f>
        <v>Scaling (50+)</v>
      </c>
      <c r="K21" s="12" t="n">
        <v>0</v>
      </c>
      <c r="L21" s="10" t="s">
        <v>57</v>
      </c>
      <c r="M21" s="10" t="s">
        <v>252</v>
      </c>
      <c r="N21" s="10" t="s">
        <v>253</v>
      </c>
      <c r="O21" s="14" t="n">
        <v>24.99</v>
      </c>
      <c r="P21" s="9" t="s">
        <v>79</v>
      </c>
      <c r="Q21" s="15" t="n">
        <f aca="false">IF(O21="","",O21*INDEX(FX!$B$5:$B$11,MATCH(P21,FX!$A$5:$A$11,0)))</f>
        <v>29.2383</v>
      </c>
      <c r="R21" s="16" t="n">
        <v>90</v>
      </c>
      <c r="S21" s="15" t="n">
        <f aca="false">IFERROR(Q21/R21,"")</f>
        <v>0.32487</v>
      </c>
      <c r="T21" s="10" t="s">
        <v>254</v>
      </c>
      <c r="U21" s="10" t="s">
        <v>255</v>
      </c>
      <c r="V21" s="17" t="s">
        <v>256</v>
      </c>
      <c r="W21" s="18" t="s">
        <v>257</v>
      </c>
      <c r="X21" s="19" t="s">
        <v>65</v>
      </c>
      <c r="Y21" s="20"/>
      <c r="Z21" s="18" t="s">
        <v>66</v>
      </c>
      <c r="AA21" s="21" t="str">
        <f aca="false">IF(Y21="","",Y21*INDEX(FX!$B$5:$B$11,MATCH(Z21,FX!$A$5:$A$11,0)))</f>
        <v/>
      </c>
      <c r="AB21" s="22"/>
      <c r="AC21" s="21" t="str">
        <f aca="false">IFERROR(AA21/AB21,"")</f>
        <v/>
      </c>
      <c r="AD21" s="23" t="n">
        <v>1680</v>
      </c>
      <c r="AE21" s="24" t="s">
        <v>230</v>
      </c>
      <c r="AF21" s="24" t="s">
        <v>231</v>
      </c>
      <c r="AG21" s="19" t="s">
        <v>258</v>
      </c>
      <c r="AH21" s="24" t="s">
        <v>259</v>
      </c>
      <c r="AI21" s="25" t="s">
        <v>260</v>
      </c>
      <c r="AJ21" s="24" t="s">
        <v>261</v>
      </c>
    </row>
  </sheetData>
  <autoFilter ref="A2:AJ21"/>
  <mergeCells count="2">
    <mergeCell ref="A1:U1"/>
    <mergeCell ref="V1:AJ1"/>
  </mergeCells>
  <hyperlinks>
    <hyperlink ref="G3" r:id="rId2" display="Open product"/>
    <hyperlink ref="H3" r:id="rId3" display="Meta ads: Bears with Benefits"/>
    <hyperlink ref="X3" r:id="rId4" display="Open competitor"/>
    <hyperlink ref="AG3" r:id="rId5" display="Meta ads: PMS-B6 (PL)"/>
    <hyperlink ref="G4" r:id="rId6" display="Open product"/>
    <hyperlink ref="H4" r:id="rId7" display="Meta ads: Mummy Gummy"/>
    <hyperlink ref="X4" r:id="rId8" display="Open competitor"/>
    <hyperlink ref="AG4" r:id="rId9" display="Meta ads: PMS-B6 (PL)"/>
    <hyperlink ref="G5" r:id="rId10" display="Open product"/>
    <hyperlink ref="H5" r:id="rId11" display="Meta ads: Manhaé"/>
    <hyperlink ref="X5" r:id="rId12" display="Open competitor"/>
    <hyperlink ref="AG5" r:id="rId13" display="Meta ads: Manhaé (RO)"/>
    <hyperlink ref="G6" r:id="rId14" display="Open product"/>
    <hyperlink ref="H6" r:id="rId15" display="Meta ads: Mummy Gummy"/>
    <hyperlink ref="X6" r:id="rId16" display="Open competitor"/>
    <hyperlink ref="AG6" r:id="rId17" display="Meta ads: Manhaé (RO)"/>
    <hyperlink ref="G7" r:id="rId18" display="Open product"/>
    <hyperlink ref="H7" r:id="rId19" display="Meta ads: fourfive"/>
    <hyperlink ref="X7" r:id="rId20" display="Open competitor"/>
    <hyperlink ref="AG7" r:id="rId21" display="Meta ads: Kompava (CZ)"/>
    <hyperlink ref="G8" r:id="rId22" display="Open product"/>
    <hyperlink ref="H8" r:id="rId23" display="Meta ads: Nutrigums"/>
    <hyperlink ref="X8" r:id="rId24" display="Open competitor"/>
    <hyperlink ref="AG8" r:id="rId25" display="Meta ads: Kompava (CZ)"/>
    <hyperlink ref="G9" r:id="rId26" display="Open product"/>
    <hyperlink ref="H9" r:id="rId27" display="Meta ads: Starpowa"/>
    <hyperlink ref="X9" r:id="rId28" display="Open competitor"/>
    <hyperlink ref="AG9" r:id="rId29" display="Meta ads: Kompava (CZ)"/>
    <hyperlink ref="G10" r:id="rId30" display="Open product"/>
    <hyperlink ref="H10" r:id="rId31" display="Meta ads: New Leaf Products"/>
    <hyperlink ref="X10" r:id="rId32" display="Open competitor"/>
    <hyperlink ref="AG10" r:id="rId33" display="Meta ads: Kompava (CZ)"/>
    <hyperlink ref="G11" r:id="rId34" display="Open product"/>
    <hyperlink ref="H11" r:id="rId35" display="Meta ads: Myvitamins"/>
    <hyperlink ref="X11" r:id="rId36" display="Open competitor"/>
    <hyperlink ref="AG11" r:id="rId37" display="Meta ads: Kompava (CZ)"/>
    <hyperlink ref="G12" r:id="rId38" display="Open product"/>
    <hyperlink ref="H12" r:id="rId39" display="Meta ads: sea moss gummies"/>
    <hyperlink ref="AG12" r:id="rId40" display="Meta ads: sea moss (PL)"/>
    <hyperlink ref="G13" r:id="rId41" display="Open product"/>
    <hyperlink ref="H13" r:id="rId42" display="Meta ads: Starpowa"/>
    <hyperlink ref="AG13" r:id="rId43" display="Meta ads: sea moss (PL)"/>
    <hyperlink ref="G14" r:id="rId44" display="Open product"/>
    <hyperlink ref="H14" r:id="rId45" display="Meta ads: Granions"/>
    <hyperlink ref="X14" r:id="rId46" display="Open competitor"/>
    <hyperlink ref="AG14" r:id="rId47" display="Meta ads: shilajit (PL)"/>
    <hyperlink ref="G15" r:id="rId48" display="Open product"/>
    <hyperlink ref="H15" r:id="rId49" display="Meta ads: Canitat"/>
    <hyperlink ref="X15" r:id="rId50" display="Open competitor"/>
    <hyperlink ref="AG15" r:id="rId51" display="Meta ads: shilajit (PL)"/>
    <hyperlink ref="G16" r:id="rId52" display="Open product"/>
    <hyperlink ref="H16" r:id="rId53" display="Meta ads: Lemme Colostrum"/>
    <hyperlink ref="AG16" r:id="rId54" display="Meta ads: colostrum (PL)"/>
    <hyperlink ref="G17" r:id="rId55" display="Open product"/>
    <hyperlink ref="H17" r:id="rId56" display="Meta ads: WonderHydrate"/>
    <hyperlink ref="AG17" r:id="rId57" display="Meta ads: electrolyte (PL)"/>
    <hyperlink ref="G18" r:id="rId58" display="Open product"/>
    <hyperlink ref="H18" r:id="rId59" display="Meta ads: Hydrate Bytes"/>
    <hyperlink ref="AG18" r:id="rId60" display="Meta ads: electrolyte (PL)"/>
    <hyperlink ref="G19" r:id="rId61" display="Open product"/>
    <hyperlink ref="H19" r:id="rId62" display="Meta ads: Bears with Benefits"/>
    <hyperlink ref="X19" r:id="rId63" display="Open competitor"/>
    <hyperlink ref="AG19" r:id="rId64" display="Meta ads: GymBeam (HU)"/>
    <hyperlink ref="G20" r:id="rId65" display="Open product"/>
    <hyperlink ref="H20" r:id="rId66" display="Meta ads: Lashilé"/>
    <hyperlink ref="X20" r:id="rId67" display="Open competitor"/>
    <hyperlink ref="AG20" r:id="rId68" display="Meta ads: GymBeam (HU)"/>
    <hyperlink ref="G21" r:id="rId69" display="Open product"/>
    <hyperlink ref="H21" r:id="rId70" display="Meta ads: Novomins"/>
    <hyperlink ref="X21" r:id="rId71" display="Open competitor"/>
    <hyperlink ref="AG21" r:id="rId72" display="Meta ads: GymBeam (PL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3"/>
  <legacyDrawing r:id="rId7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4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70"/>
  </cols>
  <sheetData>
    <row r="1" customFormat="false" ht="42" hidden="false" customHeight="true" outlineLevel="0" collapsed="false">
      <c r="A1" s="6" t="s">
        <v>21</v>
      </c>
      <c r="B1" s="6" t="s">
        <v>262</v>
      </c>
      <c r="C1" s="6" t="s">
        <v>263</v>
      </c>
      <c r="D1" s="6" t="s">
        <v>264</v>
      </c>
      <c r="E1" s="6" t="s">
        <v>265</v>
      </c>
      <c r="F1" s="6" t="s">
        <v>266</v>
      </c>
      <c r="G1" s="6" t="s">
        <v>41</v>
      </c>
      <c r="H1" s="6" t="s">
        <v>48</v>
      </c>
      <c r="I1" s="6" t="s">
        <v>267</v>
      </c>
    </row>
    <row r="2" customFormat="false" ht="23.85" hidden="false" customHeight="false" outlineLevel="0" collapsed="false">
      <c r="A2" s="27" t="s">
        <v>50</v>
      </c>
      <c r="B2" s="27" t="n">
        <f aca="false">COUNTIF(Products!$B$3:$B$21,A2)</f>
        <v>4</v>
      </c>
      <c r="C2" s="28" t="n">
        <f aca="false">IFERROR(AVERAGEIFS(Products!$S$3:$S$21,Products!$B$3:$B$21,A2),"–")</f>
        <v>0.276429166666667</v>
      </c>
      <c r="D2" s="28" t="n">
        <f aca="false">IFERROR(AVERAGEIFS(Products!$AC$3:$AC$21,Products!$B$3:$B$21,A2),"–")</f>
        <v>0.410425</v>
      </c>
      <c r="E2" s="29" t="n">
        <f aca="false">_xlfn.MAXIFS(Products!$I$3:$I$21,Products!$B$3:$B$21,A2)</f>
        <v>620</v>
      </c>
      <c r="F2" s="29" t="n">
        <f aca="false">_xlfn.MAXIFS(Products!$K$3:$K$21,Products!$B$3:$B$21,A2)</f>
        <v>4</v>
      </c>
      <c r="G2" s="27" t="s">
        <v>268</v>
      </c>
      <c r="H2" s="30" t="s">
        <v>71</v>
      </c>
      <c r="I2" s="27" t="s">
        <v>269</v>
      </c>
    </row>
    <row r="3" customFormat="false" ht="35.05" hidden="false" customHeight="false" outlineLevel="0" collapsed="false">
      <c r="A3" s="27" t="s">
        <v>99</v>
      </c>
      <c r="B3" s="27" t="n">
        <f aca="false">COUNTIF(Products!$B$3:$B$21,A3)</f>
        <v>5</v>
      </c>
      <c r="C3" s="28" t="n">
        <f aca="false">IFERROR(AVERAGEIFS(Products!$S$3:$S$21,Products!$B$3:$B$21,A3),"–")</f>
        <v>0.39936</v>
      </c>
      <c r="D3" s="28" t="str">
        <f aca="false">IFERROR(AVERAGEIFS(Products!$AC$3:$AC$21,Products!$B$3:$B$21,A3),"–")</f>
        <v>–</v>
      </c>
      <c r="E3" s="29" t="n">
        <f aca="false">_xlfn.MAXIFS(Products!$I$3:$I$21,Products!$B$3:$B$21,A3)</f>
        <v>260</v>
      </c>
      <c r="F3" s="29" t="n">
        <f aca="false">_xlfn.MAXIFS(Products!$K$3:$K$21,Products!$B$3:$B$21,A3)</f>
        <v>74</v>
      </c>
      <c r="G3" s="27" t="s">
        <v>270</v>
      </c>
      <c r="H3" s="30" t="s">
        <v>113</v>
      </c>
      <c r="I3" s="27" t="s">
        <v>271</v>
      </c>
    </row>
    <row r="4" customFormat="false" ht="35.05" hidden="false" customHeight="false" outlineLevel="0" collapsed="false">
      <c r="A4" s="27" t="s">
        <v>145</v>
      </c>
      <c r="B4" s="27" t="n">
        <f aca="false">COUNTIF(Products!$B$3:$B$21,A4)</f>
        <v>2</v>
      </c>
      <c r="C4" s="28" t="n">
        <f aca="false">IFERROR(AVERAGEIFS(Products!$S$3:$S$21,Products!$B$3:$B$21,A4),"–")</f>
        <v>0.360555</v>
      </c>
      <c r="D4" s="28" t="str">
        <f aca="false">IFERROR(AVERAGEIFS(Products!$AC$3:$AC$21,Products!$B$3:$B$21,A4),"–")</f>
        <v>–</v>
      </c>
      <c r="E4" s="29" t="n">
        <f aca="false">_xlfn.MAXIFS(Products!$I$3:$I$21,Products!$B$3:$B$21,A4)</f>
        <v>1000</v>
      </c>
      <c r="F4" s="29" t="n">
        <f aca="false">_xlfn.MAXIFS(Products!$K$3:$K$21,Products!$B$3:$B$21,A4)</f>
        <v>9</v>
      </c>
      <c r="G4" s="27" t="s">
        <v>153</v>
      </c>
      <c r="H4" s="30" t="s">
        <v>113</v>
      </c>
      <c r="I4" s="27" t="s">
        <v>272</v>
      </c>
    </row>
    <row r="5" customFormat="false" ht="23.85" hidden="false" customHeight="false" outlineLevel="0" collapsed="false">
      <c r="A5" s="27" t="s">
        <v>163</v>
      </c>
      <c r="B5" s="27" t="n">
        <f aca="false">COUNTIF(Products!$B$3:$B$21,A5)</f>
        <v>2</v>
      </c>
      <c r="C5" s="28" t="n">
        <f aca="false">IFERROR(AVERAGEIFS(Products!$S$3:$S$21,Products!$B$3:$B$21,A5),"–")</f>
        <v>0.3115</v>
      </c>
      <c r="D5" s="28" t="n">
        <f aca="false">IFERROR(AVERAGEIFS(Products!$AC$3:$AC$21,Products!$B$3:$B$21,A5),"–")</f>
        <v>0.470861666666667</v>
      </c>
      <c r="E5" s="29" t="n">
        <f aca="false">_xlfn.MAXIFS(Products!$I$3:$I$21,Products!$B$3:$B$21,A5)</f>
        <v>65</v>
      </c>
      <c r="F5" s="29" t="n">
        <f aca="false">_xlfn.MAXIFS(Products!$K$3:$K$21,Products!$B$3:$B$21,A5)</f>
        <v>5</v>
      </c>
      <c r="G5" s="27" t="s">
        <v>273</v>
      </c>
      <c r="H5" s="30" t="s">
        <v>178</v>
      </c>
      <c r="I5" s="27" t="s">
        <v>274</v>
      </c>
    </row>
    <row r="6" customFormat="false" ht="23.85" hidden="false" customHeight="false" outlineLevel="0" collapsed="false">
      <c r="A6" s="27" t="s">
        <v>187</v>
      </c>
      <c r="B6" s="27" t="n">
        <f aca="false">COUNTIF(Products!$B$3:$B$21,A6)</f>
        <v>1</v>
      </c>
      <c r="C6" s="28" t="str">
        <f aca="false">IFERROR(AVERAGEIFS(Products!$S$3:$S$21,Products!$B$3:$B$21,A6),"–")</f>
        <v>–</v>
      </c>
      <c r="D6" s="28" t="str">
        <f aca="false">IFERROR(AVERAGEIFS(Products!$AC$3:$AC$21,Products!$B$3:$B$21,A6),"–")</f>
        <v>–</v>
      </c>
      <c r="E6" s="29" t="n">
        <f aca="false">_xlfn.MAXIFS(Products!$I$3:$I$21,Products!$B$3:$B$21,A6)</f>
        <v>2</v>
      </c>
      <c r="F6" s="29" t="n">
        <f aca="false">_xlfn.MAXIFS(Products!$K$3:$K$21,Products!$B$3:$B$21,A6)</f>
        <v>0</v>
      </c>
      <c r="G6" s="27" t="s">
        <v>153</v>
      </c>
      <c r="H6" s="30" t="s">
        <v>200</v>
      </c>
      <c r="I6" s="27" t="s">
        <v>275</v>
      </c>
    </row>
    <row r="7" customFormat="false" ht="15" hidden="false" customHeight="false" outlineLevel="0" collapsed="false">
      <c r="A7" s="27" t="s">
        <v>202</v>
      </c>
      <c r="B7" s="27" t="n">
        <f aca="false">COUNTIF(Products!$B$3:$B$21,A7)</f>
        <v>2</v>
      </c>
      <c r="C7" s="28" t="n">
        <f aca="false">IFERROR(AVERAGEIFS(Products!$S$3:$S$21,Products!$B$3:$B$21,A7),"–")</f>
        <v>0.682778571428572</v>
      </c>
      <c r="D7" s="28" t="str">
        <f aca="false">IFERROR(AVERAGEIFS(Products!$AC$3:$AC$21,Products!$B$3:$B$21,A7),"–")</f>
        <v>–</v>
      </c>
      <c r="E7" s="29" t="n">
        <f aca="false">_xlfn.MAXIFS(Products!$I$3:$I$21,Products!$B$3:$B$21,A7)</f>
        <v>4</v>
      </c>
      <c r="F7" s="29" t="n">
        <f aca="false">_xlfn.MAXIFS(Products!$K$3:$K$21,Products!$B$3:$B$21,A7)</f>
        <v>0</v>
      </c>
      <c r="G7" s="27" t="s">
        <v>153</v>
      </c>
      <c r="H7" s="30" t="s">
        <v>200</v>
      </c>
      <c r="I7" s="27" t="s">
        <v>276</v>
      </c>
    </row>
    <row r="8" customFormat="false" ht="23.85" hidden="false" customHeight="false" outlineLevel="0" collapsed="false">
      <c r="A8" s="27" t="s">
        <v>223</v>
      </c>
      <c r="B8" s="27" t="n">
        <f aca="false">COUNTIF(Products!$B$3:$B$21,A8)</f>
        <v>2</v>
      </c>
      <c r="C8" s="28" t="n">
        <f aca="false">IFERROR(AVERAGEIFS(Products!$S$3:$S$21,Products!$B$3:$B$21,A8),"–")</f>
        <v>0.468276388888889</v>
      </c>
      <c r="D8" s="28" t="str">
        <f aca="false">IFERROR(AVERAGEIFS(Products!$AC$3:$AC$21,Products!$B$3:$B$21,A8),"–")</f>
        <v>–</v>
      </c>
      <c r="E8" s="29" t="n">
        <f aca="false">_xlfn.MAXIFS(Products!$I$3:$I$21,Products!$B$3:$B$21,A8)</f>
        <v>620</v>
      </c>
      <c r="F8" s="29" t="n">
        <f aca="false">_xlfn.MAXIFS(Products!$K$3:$K$21,Products!$B$3:$B$21,A8)</f>
        <v>276</v>
      </c>
      <c r="G8" s="27" t="s">
        <v>277</v>
      </c>
      <c r="H8" s="30" t="s">
        <v>234</v>
      </c>
      <c r="I8" s="27" t="s">
        <v>278</v>
      </c>
    </row>
    <row r="9" customFormat="false" ht="23.85" hidden="false" customHeight="false" outlineLevel="0" collapsed="false">
      <c r="A9" s="27" t="s">
        <v>248</v>
      </c>
      <c r="B9" s="27" t="n">
        <f aca="false">COUNTIF(Products!$B$3:$B$21,A9)</f>
        <v>1</v>
      </c>
      <c r="C9" s="28" t="n">
        <f aca="false">IFERROR(AVERAGEIFS(Products!$S$3:$S$21,Products!$B$3:$B$21,A9),"–")</f>
        <v>0.32487</v>
      </c>
      <c r="D9" s="28" t="str">
        <f aca="false">IFERROR(AVERAGEIFS(Products!$AC$3:$AC$21,Products!$B$3:$B$21,A9),"–")</f>
        <v>–</v>
      </c>
      <c r="E9" s="29" t="n">
        <f aca="false">_xlfn.MAXIFS(Products!$I$3:$I$21,Products!$B$3:$B$21,A9)</f>
        <v>620</v>
      </c>
      <c r="F9" s="29" t="n">
        <f aca="false">_xlfn.MAXIFS(Products!$K$3:$K$21,Products!$B$3:$B$21,A9)</f>
        <v>0</v>
      </c>
      <c r="G9" s="27" t="s">
        <v>279</v>
      </c>
      <c r="H9" s="30" t="s">
        <v>260</v>
      </c>
      <c r="I9" s="27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1" t="s">
        <v>281</v>
      </c>
    </row>
    <row r="2" customFormat="false" ht="15" hidden="false" customHeight="false" outlineLevel="0" collapsed="false">
      <c r="A2" s="32" t="s">
        <v>282</v>
      </c>
    </row>
    <row r="4" customFormat="false" ht="15" hidden="false" customHeight="false" outlineLevel="0" collapsed="false">
      <c r="A4" s="33" t="s">
        <v>35</v>
      </c>
      <c r="B4" s="33" t="s">
        <v>283</v>
      </c>
    </row>
    <row r="5" customFormat="false" ht="15" hidden="false" customHeight="false" outlineLevel="0" collapsed="false">
      <c r="A5" s="34" t="s">
        <v>60</v>
      </c>
      <c r="B5" s="35" t="n">
        <v>1</v>
      </c>
    </row>
    <row r="6" customFormat="false" ht="15" hidden="false" customHeight="false" outlineLevel="0" collapsed="false">
      <c r="A6" s="34" t="s">
        <v>79</v>
      </c>
      <c r="B6" s="35" t="n">
        <v>1.17</v>
      </c>
    </row>
    <row r="7" customFormat="false" ht="15" hidden="false" customHeight="false" outlineLevel="0" collapsed="false">
      <c r="A7" s="34" t="s">
        <v>244</v>
      </c>
      <c r="B7" s="35" t="n">
        <v>1.07</v>
      </c>
    </row>
    <row r="8" customFormat="false" ht="15" hidden="false" customHeight="false" outlineLevel="0" collapsed="false">
      <c r="A8" s="34" t="s">
        <v>284</v>
      </c>
      <c r="B8" s="35" t="n">
        <v>0.92</v>
      </c>
    </row>
    <row r="9" customFormat="false" ht="15" hidden="false" customHeight="false" outlineLevel="0" collapsed="false">
      <c r="A9" s="34" t="s">
        <v>66</v>
      </c>
      <c r="B9" s="35" t="n">
        <v>0.235</v>
      </c>
    </row>
    <row r="10" customFormat="false" ht="15" hidden="false" customHeight="false" outlineLevel="0" collapsed="false">
      <c r="A10" s="34" t="s">
        <v>94</v>
      </c>
      <c r="B10" s="35" t="n">
        <v>0.2</v>
      </c>
    </row>
    <row r="11" customFormat="false" ht="15" hidden="false" customHeight="false" outlineLevel="0" collapsed="false">
      <c r="A11" s="34" t="s">
        <v>285</v>
      </c>
      <c r="B11" s="35" t="n">
        <v>0.04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2026-10-04T12:31:13Z</dcterms:created>
  <dc:creator>openpyxl</dc:creator>
  <dc:description/>
  <dc:language>en-US</dc:language>
  <cp:lastModifiedBy/>
  <dcterms:modified xsi:type="dcterms:W3CDTF">2026-10-04T12:31:13Z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
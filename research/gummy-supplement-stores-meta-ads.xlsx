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X" sheetId="2" state="visible" r:id="rId4"/>
    <sheet name="Summary" sheetId="3" state="visible" r:id="rId5"/>
    <sheet name="Poland" sheetId="4" state="visible" r:id="rId6"/>
    <sheet name="Bulgaria" sheetId="5" state="visible" r:id="rId7"/>
    <sheet name="Romania" sheetId="6" state="visible" r:id="rId8"/>
    <sheet name="Greece" sheetId="7" state="visible" r:id="rId9"/>
    <sheet name="Slovenia" sheetId="8" state="visible" r:id="rId10"/>
    <sheet name="Slovakia" sheetId="9" state="visible" r:id="rId11"/>
    <sheet name="Croatia" sheetId="10" state="visible" r:id="rId12"/>
    <sheet name="Czechia" sheetId="11" state="visible" r:id="rId13"/>
    <sheet name="Hungar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<sst xmlns="http://schemas.openxmlformats.org/spreadsheetml/2006/main" count="864" uniqueCount="511">
  <si>
    <t xml:space="preserve">Gummy &amp; supplement stores – Meta ads tracker</t>
  </si>
  <si>
    <t xml:space="preserve">Data collected on</t>
  </si>
  <si>
    <t xml:space="preserve">Countries</t>
  </si>
  <si>
    <t xml:space="preserve">Poland, Bulgaria, Romania, Greece, Slovenia, Slovakia, Croatia, Czechia, Hungary (one tab each)</t>
  </si>
  <si>
    <t xml:space="preserve">COLUMNS</t>
  </si>
  <si>
    <t xml:space="preserve">Store link</t>
  </si>
  <si>
    <t xml:space="preserve">The store website (where the ads send people).</t>
  </si>
  <si>
    <t xml:space="preserve">Meta Ad Library link</t>
  </si>
  <si>
    <t xml:space="preserve">Opens the store's Facebook page in Meta Ad Library (all countries, active + inactive ads). Use it to re-check every number.</t>
  </si>
  <si>
    <t xml:space="preserve">Entry price</t>
  </si>
  <si>
    <t xml:space="preserve">Lowest price to buy ONE unit of the main product the store advertises (after the discount shown on the site). Local currency; the EUR column converts it with the FX tab.</t>
  </si>
  <si>
    <t xml:space="preserve">Offer</t>
  </si>
  <si>
    <t xml:space="preserve">The promotion shown on the store / ad landing page at collection time (bundles like 2+1, % off, free shipping threshold, gifts).</t>
  </si>
  <si>
    <t xml:space="preserve">Oldest ad in Ad Library</t>
  </si>
  <si>
    <t xml:space="preserve">Start date of the oldest ad Meta Ad Library still shows for the page, active or inactive. Best available proxy for when they started advertising.</t>
  </si>
  <si>
    <t xml:space="preserve">Ads in Ad Library</t>
  </si>
  <si>
    <t xml:space="preserve">Number of ads Meta shows for the page (all countries, active + inactive). Meta rounds big numbers.</t>
  </si>
  <si>
    <t xml:space="preserve">Active ads now</t>
  </si>
  <si>
    <t xml:space="preserve">Ads running on the collection date.</t>
  </si>
  <si>
    <t xml:space="preserve">Oldest live ad: start date</t>
  </si>
  <si>
    <t xml:space="preserve">Start date of the longest-running ad that is still active. An ad running for a long time is usually a proven winner.</t>
  </si>
  <si>
    <t xml:space="preserve">Days since …</t>
  </si>
  <si>
    <t xml:space="preserve">Formulas: Data collected on (cell B3) minus the date. Change B3 to TODAY() if you want them to keep counting.</t>
  </si>
  <si>
    <t xml:space="preserve">LIMITATIONS</t>
  </si>
  <si>
    <t xml:space="preserve">Ad retention</t>
  </si>
  <si>
    <t xml:space="preserve">Meta keeps inactive ads that ran in the EU for about 1 year after they stop (DSA rule). Stores advertising longer than that may have started earlier than 'Oldest ad in Ad Library' shows.</t>
  </si>
  <si>
    <t xml:space="preserve">Page vs. store</t>
  </si>
  <si>
    <t xml:space="preserve">Counts are per Facebook page. Some brands run one page for several countries (e.g. Bloom Robbins SK/CZ), so the same numbers appear in more than one tab.</t>
  </si>
  <si>
    <t xml:space="preserve">Prices</t>
  </si>
  <si>
    <t xml:space="preserve">Collected from the store websites on the collection date. Promotions change often.</t>
  </si>
  <si>
    <t xml:space="preserve">Selection</t>
  </si>
  <si>
    <t xml:space="preserve">Stores were found by searching active Meta ads in each country for local words for gummies and food supplements, plus web searches. It is a list of active advertisers, not a full census.</t>
  </si>
  <si>
    <t xml:space="preserve">Blank cell</t>
  </si>
  <si>
    <t xml:space="preserve">The value could not be collected (site blocked the scraper, or Meta throttled the lookup). Open the link to check.</t>
  </si>
  <si>
    <t xml:space="preserve">COLOUR LEGEND</t>
  </si>
  <si>
    <t xml:space="preserve">Blue text</t>
  </si>
  <si>
    <t xml:space="preserve">Numbers collected from websites / Meta Ad Library.</t>
  </si>
  <si>
    <t xml:space="preserve">Black text</t>
  </si>
  <si>
    <t xml:space="preserve">Formulas – do not overwrite.</t>
  </si>
  <si>
    <t xml:space="preserve">Yellow cells</t>
  </si>
  <si>
    <t xml:space="preserve">Inputs you can edit (collection date, FX rates).</t>
  </si>
  <si>
    <t xml:space="preserve">Exchange rates used for EUR conversion</t>
  </si>
  <si>
    <t xml:space="preserve">Approximate rates (assumption, Oct 2026). Edit the yellow cells and every EUR column recalculates. Bulgaria uses EUR since 1 Jan 2026.</t>
  </si>
  <si>
    <t xml:space="preserve">Currency</t>
  </si>
  <si>
    <t xml:space="preserve">EUR per 1 unit</t>
  </si>
  <si>
    <t xml:space="preserve">EUR</t>
  </si>
  <si>
    <t xml:space="preserve">PLN</t>
  </si>
  <si>
    <t xml:space="preserve">RON</t>
  </si>
  <si>
    <t xml:space="preserve">CZK</t>
  </si>
  <si>
    <t xml:space="preserve">HUF</t>
  </si>
  <si>
    <t xml:space="preserve">BGN</t>
  </si>
  <si>
    <t xml:space="preserve">RSD</t>
  </si>
  <si>
    <t xml:space="preserve">Summary by country</t>
  </si>
  <si>
    <t xml:space="preserve">Country</t>
  </si>
  <si>
    <t xml:space="preserve">Stores listed</t>
  </si>
  <si>
    <t xml:space="preserve">Stores selling gummies ("Yes…")</t>
  </si>
  <si>
    <t xml:space="preserve">Total ads (all stores)</t>
  </si>
  <si>
    <t xml:space="preserve">Active ads now (all stores)</t>
  </si>
  <si>
    <t xml:space="preserve">Median entry price (EUR)</t>
  </si>
  <si>
    <t xml:space="preserve">Store with most ads</t>
  </si>
  <si>
    <t xml:space="preserve">Earliest oldest ad</t>
  </si>
  <si>
    <t xml:space="preserve">Poland</t>
  </si>
  <si>
    <t xml:space="preserve">Bulgaria</t>
  </si>
  <si>
    <t xml:space="preserve">Romania</t>
  </si>
  <si>
    <t xml:space="preserve">Greece</t>
  </si>
  <si>
    <t xml:space="preserve">Slovenia</t>
  </si>
  <si>
    <t xml:space="preserve">Slovakia</t>
  </si>
  <si>
    <t xml:space="preserve">Croatia</t>
  </si>
  <si>
    <t xml:space="preserve">Czechia</t>
  </si>
  <si>
    <t xml:space="preserve">Hungary</t>
  </si>
  <si>
    <t xml:space="preserve">Poland – stores selling gummies / supplements with Meta ads</t>
  </si>
  <si>
    <t xml:space="preserve">12 stores · Meta data collected on the date in 'Read me'!B3 · sorted by number of ads</t>
  </si>
  <si>
    <t xml:space="preserve">#</t>
  </si>
  <si>
    <t xml:space="preserve">Store</t>
  </si>
  <si>
    <t xml:space="preserve">What they sell</t>
  </si>
  <si>
    <t xml:space="preserve">Sells gummies?</t>
  </si>
  <si>
    <t xml:space="preserve">Entry product</t>
  </si>
  <si>
    <t xml:space="preserve">Entry price (local)</t>
  </si>
  <si>
    <t xml:space="preserve">Entry price (EUR)</t>
  </si>
  <si>
    <t xml:space="preserve">Oldest ad in Ad Library (active or not)</t>
  </si>
  <si>
    <t xml:space="preserve">Days since oldest ad</t>
  </si>
  <si>
    <t xml:space="preserve">Ads in Ad Library (total)</t>
  </si>
  <si>
    <t xml:space="preserve">Days since oldest live ad</t>
  </si>
  <si>
    <t xml:space="preserve">Notes</t>
  </si>
  <si>
    <t xml:space="preserve">NOYO</t>
  </si>
  <si>
    <t xml:space="preserve">https://noyopharm.com</t>
  </si>
  <si>
    <t xml:space="preserve">Open Ad Library</t>
  </si>
  <si>
    <t xml:space="preserve">Slimming &amp; beauty supplements + cosmetics</t>
  </si>
  <si>
    <t xml:space="preserve">No (capsules/powders)</t>
  </si>
  <si>
    <t xml:space="preserve">Detox supplement</t>
  </si>
  <si>
    <t xml:space="preserve">"Autumn with NOYO" promo; bundles (Flat Belly, Bestseller); −10% first order; free delivery from 300 zł</t>
  </si>
  <si>
    <t xml:space="preserve">NUTRIDOME (Oh!Tomi)</t>
  </si>
  <si>
    <t xml:space="preserve">https://nutridome.pl</t>
  </si>
  <si>
    <t xml:space="preserve">Beauty shop: Oh!Tomi gummies (hair, sleep), collagen, cosmetics</t>
  </si>
  <si>
    <t xml:space="preserve">Yes (Oh!Tomi)</t>
  </si>
  <si>
    <t xml:space="preserve">Oh!Tomi Super Hair gummies, 60 pcs (advertised)</t>
  </si>
  <si>
    <t xml:space="preserve">Small markdown (69.00 → 64.99 zł); −10% subscribe &amp; save; free delivery from 180 zł</t>
  </si>
  <si>
    <t xml:space="preserve">Labify.pl</t>
  </si>
  <si>
    <t xml:space="preserve">https://labify.pl</t>
  </si>
  <si>
    <t xml:space="preserve">Own-brand supplements for men &amp; women, incl. vitamin C gummies</t>
  </si>
  <si>
    <t xml:space="preserve">Yes (vit C gummies)</t>
  </si>
  <si>
    <t xml:space="preserve">Vitamin C gummies</t>
  </si>
  <si>
    <t xml:space="preserve">Early access to promotions via newsletter</t>
  </si>
  <si>
    <t xml:space="preserve">Sundose</t>
  </si>
  <si>
    <t xml:space="preserve">https://sundose.com</t>
  </si>
  <si>
    <t xml:space="preserve">Personalised daily vitamin sachets (subscription, dietitian + app)</t>
  </si>
  <si>
    <t xml:space="preserve">No (sachets)</t>
  </si>
  <si>
    <t xml:space="preserve">Personalised sachets, 30 days – first month</t>
  </si>
  <si>
    <t xml:space="preserve">First month 99 zł, then ~200 zł/month; price range 50–230 zł depending on formula</t>
  </si>
  <si>
    <t xml:space="preserve">Price from public reviews/discount pages, not scraped from the checkout.</t>
  </si>
  <si>
    <t xml:space="preserve">Noble Health</t>
  </si>
  <si>
    <t xml:space="preserve">https://noblehealth.pl</t>
  </si>
  <si>
    <t xml:space="preserve">Gummies ("Misie" bears: hair, sleep, stress, skin; Hair Care Panda)</t>
  </si>
  <si>
    <t xml:space="preserve">Yes – main line</t>
  </si>
  <si>
    <t xml:space="preserve">Misie gummies (hair / stress / sleep)</t>
  </si>
  <si>
    <t xml:space="preserve">Hair Care Panda −30% (save 45 zł → 105 zł); bundles; free delivery from 200 zł</t>
  </si>
  <si>
    <t xml:space="preserve">Also advertises in CZ.</t>
  </si>
  <si>
    <t xml:space="preserve">FEZI</t>
  </si>
  <si>
    <t xml:space="preserve">https://fezi.pl</t>
  </si>
  <si>
    <t xml:space="preserve">Apple-cider-vinegar gummies &amp; other gummy supplements</t>
  </si>
  <si>
    <t xml:space="preserve">Yes – gummies only</t>
  </si>
  <si>
    <t xml:space="preserve">FEZI Apple Cider Vinegar gummies, 60 pcs (30 days)</t>
  </si>
  <si>
    <t xml:space="preserve">Birthday promo 2+1 FREE; 3+2 FREE; free delivery; 169.99 → 119.99 zł</t>
  </si>
  <si>
    <t xml:space="preserve">OstroVit</t>
  </si>
  <si>
    <t xml:space="preserve">https://ostrovit.com</t>
  </si>
  <si>
    <t xml:space="preserve">Sports nutrition &amp; vitamins (huge catalogue)</t>
  </si>
  <si>
    <t xml:space="preserve">Some</t>
  </si>
  <si>
    <t xml:space="preserve">Magnesium glycinate 90 caps</t>
  </si>
  <si>
    <t xml:space="preserve">−10% newsletter code; bundles</t>
  </si>
  <si>
    <t xml:space="preserve">Narum</t>
  </si>
  <si>
    <t xml:space="preserve">https://mynarum.com</t>
  </si>
  <si>
    <t xml:space="preserve">Premium supplements (iron, magnesium, selenium, omega, collagen)</t>
  </si>
  <si>
    <t xml:space="preserve">No</t>
  </si>
  <si>
    <t xml:space="preserve">Omega Forte (on promotion)</t>
  </si>
  <si>
    <t xml:space="preserve">"In promotion" items (e.g. Omega Forte 29.99 → 25.99 € on the EUR site)</t>
  </si>
  <si>
    <t xml:space="preserve">Site showed EUR prices to the scraper; PLN price not captured.</t>
  </si>
  <si>
    <t xml:space="preserve">Real Pharm Nutrition</t>
  </si>
  <si>
    <t xml:space="preserve">https://realpharm.eu</t>
  </si>
  <si>
    <t xml:space="preserve">Polish sports-nutrition &amp; supplements producer</t>
  </si>
  <si>
    <t xml:space="preserve">CitruArgin citrulline-arginine 150 caps (advertised)</t>
  </si>
  <si>
    <t xml:space="preserve">Promo set CitruArgin 300 g + shaker 53.99 zł (was 61.99); −10% first order; free shipping from 99 zł</t>
  </si>
  <si>
    <t xml:space="preserve">Panda Care</t>
  </si>
  <si>
    <t xml:space="preserve">https://pandacare.pl</t>
  </si>
  <si>
    <t xml:space="preserve">Multi-brand supplement &amp; health-food shop</t>
  </si>
  <si>
    <t xml:space="preserve">Para Farm drops (offer)</t>
  </si>
  <si>
    <t xml:space="preserve">Weekly hits with discounts; free delivery from 199 zł</t>
  </si>
  <si>
    <t xml:space="preserve">Healthy Now</t>
  </si>
  <si>
    <t xml:space="preserve">https://trichonex.doctorzakaria.com/l</t>
  </si>
  <si>
    <t xml:space="preserve">Advertorial/COD funnels for supplements (Trichonex hair-loss, Collagen Complex)</t>
  </si>
  <si>
    <t xml:space="preserve">No (capsules)</t>
  </si>
  <si>
    <t xml:space="preserve">"Buy now with discount" countdown; free sample programme (Collagen Complex); free delivery</t>
  </si>
  <si>
    <t xml:space="preserve">Not a classic store: ads lead to "doctor" advertorial pages with order forms.</t>
  </si>
  <si>
    <t xml:space="preserve">HelloGummies</t>
  </si>
  <si>
    <t xml:space="preserve">https://hellogummies.pl</t>
  </si>
  <si>
    <t xml:space="preserve">Vitamin gummies (hair &amp; nails, beta-carotene, collagen, sleep, kids)</t>
  </si>
  <si>
    <t xml:space="preserve">Sleep Well melatonin gummies</t>
  </si>
  <si>
    <t xml:space="preserve">−15% with code JESIEŃ (in ads); bundles (zestawy); free delivery from 150 zł</t>
  </si>
  <si>
    <t xml:space="preserve">Bulgaria – stores selling gummies / supplements with Meta ads</t>
  </si>
  <si>
    <t xml:space="preserve">10 stores · Meta data collected on the date in 'Read me'!B3 · sorted by number of ads</t>
  </si>
  <si>
    <t xml:space="preserve">FutuNatura.bg</t>
  </si>
  <si>
    <t xml:space="preserve">https://www.futunatura.bg</t>
  </si>
  <si>
    <t xml:space="preserve">Own-brand supplements incl. creatine &amp; kids gummies</t>
  </si>
  <si>
    <t xml:space="preserve">Yes (part of range)</t>
  </si>
  <si>
    <t xml:space="preserve">Creatine gummies 3000 mg, 90 pcs (advertised)</t>
  </si>
  <si>
    <t xml:space="preserve">Weekly −15% on everything; quantity discount; free delivery over 39.99 €; gift over 50 €</t>
  </si>
  <si>
    <t xml:space="preserve">Gymbeam.bg</t>
  </si>
  <si>
    <t xml:space="preserve">https://gymbeam.bg</t>
  </si>
  <si>
    <t xml:space="preserve">Sports nutrition &amp; supplements (incl. "Yummies" gummies: multivitamin, creatine, ashwagandha…)</t>
  </si>
  <si>
    <t xml:space="preserve">Yes (Yummies line)</t>
  </si>
  <si>
    <t xml:space="preserve">Multivitamin Yummies, 60 gummies</t>
  </si>
  <si>
    <t xml:space="preserve">Creatine Yummies 19.50 €; site promos (Cloudflare blocked our scraper – check the link for current offers)</t>
  </si>
  <si>
    <t xml:space="preserve">Glow Gummies</t>
  </si>
  <si>
    <t xml:space="preserve">https://tryglowgummies.com</t>
  </si>
  <si>
    <t xml:space="preserve">Tanning gummies (international English-language DTC brand)</t>
  </si>
  <si>
    <t xml:space="preserve">Glow tanning gummies, 1 pack</t>
  </si>
  <si>
    <t xml:space="preserve">Bundle discounts + extra 5% for subscribers; free shipping; 12-week money-back guarantee</t>
  </si>
  <si>
    <t xml:space="preserve">Not a Bulgarian store: an international brand whose ads also reach BG and HR. The shop showed 71.60 AUD (geo-priced) to our scraper, so no EUR price recorded.</t>
  </si>
  <si>
    <t xml:space="preserve">Шиладжит Прайм (Shilajit Prime)</t>
  </si>
  <si>
    <t xml:space="preserve">https://shilajit-prime.shop</t>
  </si>
  <si>
    <t xml:space="preserve">Shilajit resin/supplement (single-product store)</t>
  </si>
  <si>
    <t xml:space="preserve">No (resin)</t>
  </si>
  <si>
    <t xml:space="preserve">Shilajit – 1 jar, 30 days</t>
  </si>
  <si>
    <t xml:space="preserve">Save 10 € (34.97 → 24.97 €); multi-pack bundles ("choose your package")</t>
  </si>
  <si>
    <t xml:space="preserve">Flow Vitamins</t>
  </si>
  <si>
    <t xml:space="preserve">https://vitaminsflow.com</t>
  </si>
  <si>
    <t xml:space="preserve">Women's gummies: PMS, intimate health probiotics, ACV bears</t>
  </si>
  <si>
    <t xml:space="preserve">Probiotic bears for women's health, 30 days</t>
  </si>
  <si>
    <t xml:space="preserve">Buy 2 + 1 FREE; 3 + 2; subscribe −15% / −40%; free delivery over 65 €</t>
  </si>
  <si>
    <t xml:space="preserve">Nature's Way България</t>
  </si>
  <si>
    <t xml:space="preserve">https://naturesway.bg</t>
  </si>
  <si>
    <t xml:space="preserve">Nature's Way / Alive! multivitamins incl. gummies</t>
  </si>
  <si>
    <t xml:space="preserve">Yes (Alive! gummies)</t>
  </si>
  <si>
    <t xml:space="preserve">Alive! kids multivitamin, 40 gummies</t>
  </si>
  <si>
    <t xml:space="preserve">Up to −50/−60% on Alive!; promo packs (Women + Men); free delivery over 40 €</t>
  </si>
  <si>
    <t xml:space="preserve">Vital Gummy</t>
  </si>
  <si>
    <t xml:space="preserve">https://vitalgummy.com</t>
  </si>
  <si>
    <t xml:space="preserve">Women's gummies: hair vitamins, ACV, good-night</t>
  </si>
  <si>
    <t xml:space="preserve">Apple Cider Vinegar gummies, 1 month</t>
  </si>
  <si>
    <t xml:space="preserve">Buy 1 + 1 FREE for 29 € + free book; 2+2 and 3+3 free; free delivery over 35.80 €</t>
  </si>
  <si>
    <t xml:space="preserve">The Ceel Bulgaria</t>
  </si>
  <si>
    <t xml:space="preserve">https://theceel.bg</t>
  </si>
  <si>
    <t xml:space="preserve">Beauty sets + vegan gummy vitamins (skin, hair, sleep, collagen, matcha)</t>
  </si>
  <si>
    <t xml:space="preserve">Yes (gummies collection)</t>
  </si>
  <si>
    <t xml:space="preserve">Vegan gummy vitamins (any), 1 pack</t>
  </si>
  <si>
    <t xml:space="preserve">Sale prices on sets (e.g. 66.46 → 53.17 €); free delivery over 51.13 €</t>
  </si>
  <si>
    <t xml:space="preserve">No active ads on the collection date (Meta returned none in repeated checks).</t>
  </si>
  <si>
    <t xml:space="preserve">Leyra</t>
  </si>
  <si>
    <t xml:space="preserve">https://leyra.bg</t>
  </si>
  <si>
    <t xml:space="preserve">Women's intimate-health gummies (Flora)</t>
  </si>
  <si>
    <t xml:space="preserve">Flora gummy bears, 60 pcs (30 days)</t>
  </si>
  <si>
    <t xml:space="preserve">Summer sale up to −45% (34.25 → 25.99 €); Buy 2 + 1 FREE; 3 + 2 FREE; free delivery</t>
  </si>
  <si>
    <t xml:space="preserve">Alive Multivitamins (revita.bg)</t>
  </si>
  <si>
    <t xml:space="preserve">https://revita.bg</t>
  </si>
  <si>
    <t xml:space="preserve">Herbal &amp; supplement shop; Alive! gummy multivitamins</t>
  </si>
  <si>
    <t xml:space="preserve">Alive! kids chewable multivitamin, 30 pcs</t>
  </si>
  <si>
    <t xml:space="preserve">−15% on Alive! kids; free delivery over 40 €</t>
  </si>
  <si>
    <t xml:space="preserve">Romania – stores selling gummies / supplements with Meta ads</t>
  </si>
  <si>
    <t xml:space="preserve">8 stores · Meta data collected on the date in 'Read me'!B3 · sorted by number of ads</t>
  </si>
  <si>
    <t xml:space="preserve">FutuNatura.ro</t>
  </si>
  <si>
    <t xml:space="preserve">https://www.futunatura.ro</t>
  </si>
  <si>
    <t xml:space="preserve">Own-brand supplements: magnesium, omega-3, creatine gummies, kids gummies</t>
  </si>
  <si>
    <t xml:space="preserve">Creatine monohydrate gummies 3000 mg, 90 pcs (advertised)</t>
  </si>
  <si>
    <t xml:space="preserve">Weekly offer −15% on everything; quantity discounts; free delivery over 199 lei; free gift over 249 lei</t>
  </si>
  <si>
    <t xml:space="preserve">Hairburst Romania</t>
  </si>
  <si>
    <t xml:space="preserve">https://www.hairburst.com/ro-ro</t>
  </si>
  <si>
    <t xml:space="preserve">Hair-growth gummies, vitamins, shampoos (UK brand, RO page)</t>
  </si>
  <si>
    <t xml:space="preserve">Yes – hero product</t>
  </si>
  <si>
    <t xml:space="preserve">Chewable hair vitamins (gummies), 1 month</t>
  </si>
  <si>
    <t xml:space="preserve">Buy one, get one free (ad landing page); 399 → 148 RON; 3-month stock −30% (279 RON); free delivery; 90-day money-back</t>
  </si>
  <si>
    <t xml:space="preserve">Sănătate La Tine Acasă (Doppelherz RO shop)</t>
  </si>
  <si>
    <t xml:space="preserve">https://www.sanatatelatineacasa.ro</t>
  </si>
  <si>
    <t xml:space="preserve">Doppelherz supplements online shop (tablets, capsules, gummies for hair/skin/nails)</t>
  </si>
  <si>
    <t xml:space="preserve">Some (Doppelherz gummies)</t>
  </si>
  <si>
    <t xml:space="preserve">Cheapest supplement on the homepage (60 tablets)</t>
  </si>
  <si>
    <t xml:space="preserve">Promo/cure packs (e.g. −20% bundles); free delivery over 250 lei; 3% newsletter voucher</t>
  </si>
  <si>
    <t xml:space="preserve">Rootful</t>
  </si>
  <si>
    <t xml:space="preserve">https://www.rootfulnutrition.com</t>
  </si>
  <si>
    <t xml:space="preserve">Own-brand gummies (ACV &amp; kombucha, vit C+zinc+D3, melatonin, ashwagandha, D3) + capsule blends</t>
  </si>
  <si>
    <t xml:space="preserve">Yes</t>
  </si>
  <si>
    <t xml:space="preserve">Apple Cider Vinegar &amp; Kombucha gummies, 1 pouch</t>
  </si>
  <si>
    <t xml:space="preserve">Buy 2 + 1 FREE (72 lei/pouch) or Buy 3 + 2 FREE; free shipping from 195 lei; −10% first order via newsletter</t>
  </si>
  <si>
    <t xml:space="preserve">Weider.ro</t>
  </si>
  <si>
    <t xml:space="preserve">https://www.weider.ro</t>
  </si>
  <si>
    <t xml:space="preserve">Sports nutrition: whey, creatine, bars, drinks</t>
  </si>
  <si>
    <t xml:space="preserve">Pure Creatine Powder 250 g</t>
  </si>
  <si>
    <t xml:space="preserve">Free delivery on orders from 250 lei</t>
  </si>
  <si>
    <t xml:space="preserve">Nutrizma.ro</t>
  </si>
  <si>
    <t xml:space="preserve">https://nutrizma.ro</t>
  </si>
  <si>
    <t xml:space="preserve">Creatine gummy cubes</t>
  </si>
  <si>
    <t xml:space="preserve">Yes – creatine gummies</t>
  </si>
  <si>
    <t xml:space="preserve">Creatine gummy cubes, 90 pcs (30 days)</t>
  </si>
  <si>
    <t xml:space="preserve">Volume pricing: 2 packs 256.99 lei (save 16.99), cheaper per pack with 3</t>
  </si>
  <si>
    <t xml:space="preserve">TummyTox.ro</t>
  </si>
  <si>
    <t xml:space="preserve">https://www.tummytox.ro</t>
  </si>
  <si>
    <t xml:space="preserve">Women's weight-loss, hormone-balance &amp; beauty supplements (capsules, teas, gummies)</t>
  </si>
  <si>
    <t xml:space="preserve">Some (multivitamin gummies)</t>
  </si>
  <si>
    <t xml:space="preserve">Hormone Balance – 2 boxes (1+1 FREE, advertised)</t>
  </si>
  <si>
    <t xml:space="preserve">1+1 FREE / −43% to −47% on advertised packs; extra −15% with subscription; free shipping over 199 RON; free gift over 248 RON; 30-day money-back</t>
  </si>
  <si>
    <t xml:space="preserve">Gummy.ro</t>
  </si>
  <si>
    <t xml:space="preserve">https://www.gummy.ro</t>
  </si>
  <si>
    <t xml:space="preserve">Gummy-only shop (TooMax gummies): vitamin C, D3+K2, melatonin, omega, immunity, kids multivitamins</t>
  </si>
  <si>
    <t xml:space="preserve">TooMax Gummy Vitamin C 250</t>
  </si>
  <si>
    <t xml:space="preserve">Sitewide markdowns of −21% to −35% (e.g. Vitamin C 79.90 → 57.90 RON)</t>
  </si>
  <si>
    <t xml:space="preserve">No active ads on the collection date.</t>
  </si>
  <si>
    <t xml:space="preserve">Greece – stores selling gummies / supplements with Meta ads</t>
  </si>
  <si>
    <t xml:space="preserve">FutuNatura.gr</t>
  </si>
  <si>
    <t xml:space="preserve">https://www.futunatura.gr</t>
  </si>
  <si>
    <t xml:space="preserve">Weekly −15% on everything (19.99 → 14.99 €); free shipping over 39.99 €; gift over 50 €</t>
  </si>
  <si>
    <t xml:space="preserve">vita4you.gr</t>
  </si>
  <si>
    <t xml:space="preserve">https://www.vita4you.gr</t>
  </si>
  <si>
    <t xml:space="preserve">Large online pharmacy: vitamins, supplements, cosmetics (multi-brand)</t>
  </si>
  <si>
    <t xml:space="preserve">Yes (multi-brand gummies)</t>
  </si>
  <si>
    <t xml:space="preserve">PharmaLead D3 &amp; K2 &amp; Magnesium complex 60 caps (featured)</t>
  </si>
  <si>
    <t xml:space="preserve">Free shipping over 59 €; free pick-up; gifts with selected products</t>
  </si>
  <si>
    <t xml:space="preserve">Naturesplusgreece</t>
  </si>
  <si>
    <t xml:space="preserve">https://linktr.ee/naturesplusgr</t>
  </si>
  <si>
    <t xml:space="preserve">Nature's Plus supplements incl. biotin &amp; collagen gummies</t>
  </si>
  <si>
    <t xml:space="preserve">Yes (biotin gummies)</t>
  </si>
  <si>
    <t xml:space="preserve">Beauty combo (Biotin Gummies + Collagen) in ads</t>
  </si>
  <si>
    <t xml:space="preserve">Brand page (Nature's Plus distributor); ads point to a link-in-bio page and partner pharmacies, so no single entry price.</t>
  </si>
  <si>
    <t xml:space="preserve">Pharm16.gr</t>
  </si>
  <si>
    <t xml:space="preserve">https://www.pharm16.gr</t>
  </si>
  <si>
    <t xml:space="preserve">Online pharmacy, 50,000+ products incl. supplements</t>
  </si>
  <si>
    <t xml:space="preserve">Promo packs &amp; limited offers; loyalty points</t>
  </si>
  <si>
    <t xml:space="preserve">Online pharmacy with 50,000+ products; homepage shows promos but no single hero product.</t>
  </si>
  <si>
    <t xml:space="preserve">myelements</t>
  </si>
  <si>
    <t xml:space="preserve">https://www.skroutz.gr/s/25692083/</t>
  </si>
  <si>
    <t xml:space="preserve">Magnesium + B6 and multivitamin effervescent tablets (brand sold via pharmacies)</t>
  </si>
  <si>
    <t xml:space="preserve">No (effervescent tablets)</t>
  </si>
  <si>
    <t xml:space="preserve">Magnesium &amp; B6, 20 effervescent tablets (pharmacy price)</t>
  </si>
  <si>
    <t xml:space="preserve">Duo packs (Magnesium + VitaminAll 20+20)</t>
  </si>
  <si>
    <t xml:space="preserve">Ads link to the Facebook page; the brand sells through pharmacies (price range 7.48–8.87 €).</t>
  </si>
  <si>
    <t xml:space="preserve">Pharmaspot.gr</t>
  </si>
  <si>
    <t xml:space="preserve">https://www.pharmaspot.gr</t>
  </si>
  <si>
    <t xml:space="preserve">Online pharmacy: vitamins, gummies, cosmetics</t>
  </si>
  <si>
    <t xml:space="preserve">Adult multivitamin gummies, 60 pcs</t>
  </si>
  <si>
    <t xml:space="preserve">Promo packs (1+1, gifts); free shipping over 49.90 €</t>
  </si>
  <si>
    <t xml:space="preserve">Chewy Vites Greece (Vican)</t>
  </si>
  <si>
    <t xml:space="preserve">https://www.vican.gr/el/proionta.html?fylo=1223&amp;manufacturer=1246</t>
  </si>
  <si>
    <t xml:space="preserve">Chewy Vites gummy vitamins for kids &amp; adults (brand sold via pharmacies)</t>
  </si>
  <si>
    <t xml:space="preserve">Chewy Vites Kids Multivitamin Plus, 60 gummies (pharmacy price)</t>
  </si>
  <si>
    <t xml:space="preserve">15% off kids vitamin C gummies (in ads)</t>
  </si>
  <si>
    <t xml:space="preserve">Brand site has no checkout (shows €0 / out of stock); price from a Greek online pharmacy (familypharmacy.gr).</t>
  </si>
  <si>
    <t xml:space="preserve">Herbalist</t>
  </si>
  <si>
    <t xml:space="preserve">https://www.herbalist.gr</t>
  </si>
  <si>
    <t xml:space="preserve">Herbal supplements (digestion, women's health – Gasdep, Erbofemin)</t>
  </si>
  <si>
    <t xml:space="preserve">Gasdep 45 capsules (advertised)</t>
  </si>
  <si>
    <t xml:space="preserve">No price shown online – the site sends buyers to pharmacies/phone orders</t>
  </si>
  <si>
    <t xml:space="preserve">No online prices on the brand site.</t>
  </si>
  <si>
    <t xml:space="preserve">Slovenia – stores selling gummies / supplements with Meta ads</t>
  </si>
  <si>
    <t xml:space="preserve">7 stores · Meta data collected on the date in 'Read me'!B3 · sorted by number of ads</t>
  </si>
  <si>
    <t xml:space="preserve">Golden Tree Slovenija</t>
  </si>
  <si>
    <t xml:space="preserve">https://goldentree.si</t>
  </si>
  <si>
    <t xml:space="preserve">Women's &amp; men's supplement complexes, slimming (capsules/drinks)</t>
  </si>
  <si>
    <t xml:space="preserve">Men's complex</t>
  </si>
  <si>
    <t xml:space="preserve">2nd product −50% (e.g. 2x Nighttime Burn −50%); free shipping for VIP Gold members</t>
  </si>
  <si>
    <t xml:space="preserve">Sensilab.si</t>
  </si>
  <si>
    <t xml:space="preserve">https://www.sensilab.si</t>
  </si>
  <si>
    <t xml:space="preserve">Own-brand supplements (hormones, liver, joints, menopause), some gummies</t>
  </si>
  <si>
    <t xml:space="preserve">Hormone-balance capsules (bestseller)</t>
  </si>
  <si>
    <t xml:space="preserve">−50% on 2-packs (e.g. 2x Curcuma Forte 24.99 €); up to −75%; free delivery over 49.99 €</t>
  </si>
  <si>
    <t xml:space="preserve">Malinca – Polna shramba zdravja</t>
  </si>
  <si>
    <t xml:space="preserve">https://www.malinca.si</t>
  </si>
  <si>
    <t xml:space="preserve">Natural food, supplements &amp; cosmetics, incl. kids gummies</t>
  </si>
  <si>
    <t xml:space="preserve">Yes (kids gummies)</t>
  </si>
  <si>
    <t xml:space="preserve">Kids multivitamin powder (offer)</t>
  </si>
  <si>
    <t xml:space="preserve">"Today 40–50% off everything"; bundles; free shipping over 55 €</t>
  </si>
  <si>
    <t xml:space="preserve">Medex</t>
  </si>
  <si>
    <t xml:space="preserve">https://www.medex.si</t>
  </si>
  <si>
    <t xml:space="preserve">Royal jelly, magnesium, joint &amp; kids supplements</t>
  </si>
  <si>
    <t xml:space="preserve">No (ampoules, powders, tablets)</t>
  </si>
  <si>
    <t xml:space="preserve">Site blocked the scraper – open the link</t>
  </si>
  <si>
    <t xml:space="preserve">Same company as Medex Hrvatska (2+1 / 3+1 free packs there). The Slovenian site blocked our scraper.</t>
  </si>
  <si>
    <t xml:space="preserve">Bloom Robbins SI</t>
  </si>
  <si>
    <t xml:space="preserve">https://www.bloomrobbins.si</t>
  </si>
  <si>
    <t xml:space="preserve">Hair gummies, ACV digestion gummies, hair bundles</t>
  </si>
  <si>
    <t xml:space="preserve">ACV vitamins for digestion &amp; energy, 1-month pack (advertised)</t>
  </si>
  <si>
    <t xml:space="preserve">Hair bundles −31% / −35%; 30.00 → 19.95 € on ACV gummies; free delivery over 60 €; 90-day guarantee</t>
  </si>
  <si>
    <t xml:space="preserve">Valens</t>
  </si>
  <si>
    <t xml:space="preserve">https://valens.si</t>
  </si>
  <si>
    <t xml:space="preserve">Slovenian supplements (amino, omega-3, Quvital)</t>
  </si>
  <si>
    <t xml:space="preserve">Quvital 100 mg capsules</t>
  </si>
  <si>
    <t xml:space="preserve">−20% when buying 4 of the same product (in ads); −10% markdowns (25.79 → 23.21 €)</t>
  </si>
  <si>
    <t xml:space="preserve">LUNI GUMI</t>
  </si>
  <si>
    <t xml:space="preserve">https://lunigumi.si</t>
  </si>
  <si>
    <t xml:space="preserve">Functional gummies (immunity, kids, sleep with melatonin + CBD)</t>
  </si>
  <si>
    <t xml:space="preserve">LUNI Lahko noč (sleep) gummies, 60 pcs</t>
  </si>
  <si>
    <t xml:space="preserve">−10% (24.37 → 21.93 €); immunity gummies −20%; −10% newsletter code</t>
  </si>
  <si>
    <t xml:space="preserve">Slovakia – stores selling gummies / supplements with Meta ads</t>
  </si>
  <si>
    <t xml:space="preserve">6 stores · Meta data collected on the date in 'Read me'!B3 · sorted by number of ads</t>
  </si>
  <si>
    <t xml:space="preserve">Bloom Robbins SK/CZ</t>
  </si>
  <si>
    <t xml:space="preserve">https://www.bloomrobbins.sk</t>
  </si>
  <si>
    <t xml:space="preserve">Hair-growth gummies ("Love is in the Hair"), collagen, hair serums &amp; sprays</t>
  </si>
  <si>
    <t xml:space="preserve">Love is in the Hair gummies, 1 pack</t>
  </si>
  <si>
    <t xml:space="preserve">Bundles; 90-day money-back guarantee; free shipping over 60 €</t>
  </si>
  <si>
    <t xml:space="preserve">Same Facebook page as Bloom Robbins CZ.</t>
  </si>
  <si>
    <t xml:space="preserve">GymBeam</t>
  </si>
  <si>
    <t xml:space="preserve">https://gymbeam.sk</t>
  </si>
  <si>
    <t xml:space="preserve">Sports nutrition &amp; supplements (incl. "Yummies" gummies: multivitamin, creatine, zinc, D3…)</t>
  </si>
  <si>
    <t xml:space="preserve">Up to −25%; −20% on BeastPink with code PINK; free shipping over 60 €</t>
  </si>
  <si>
    <t xml:space="preserve">Protein a Co.</t>
  </si>
  <si>
    <t xml:space="preserve">https://www.proteinaco.sk</t>
  </si>
  <si>
    <t xml:space="preserve">Own-brand protein, creatine, bars, vitamins, gummies</t>
  </si>
  <si>
    <t xml:space="preserve">Yes (gummies category)</t>
  </si>
  <si>
    <t xml:space="preserve">Capsule supplement (from)</t>
  </si>
  <si>
    <t xml:space="preserve">Up to −56%; 5+1 free on bars; 2+1 free on SNACK IT protein; free shipping over 99 €</t>
  </si>
  <si>
    <t xml:space="preserve">Zdravý svet</t>
  </si>
  <si>
    <t xml:space="preserve">https://www.zdravysvet.sk</t>
  </si>
  <si>
    <t xml:space="preserve">Herbal e-shop: Vesantech supplements, tinctures, mushrooms, probiotics</t>
  </si>
  <si>
    <t xml:space="preserve">No (capsules/liquids)</t>
  </si>
  <si>
    <t xml:space="preserve">Vesantech HAIR vitamins booster (advertised)</t>
  </si>
  <si>
    <t xml:space="preserve">Build-a-bundle up to −20% + free gift; 2+1 on Vesantech probiotics; free shipping over 70 €</t>
  </si>
  <si>
    <t xml:space="preserve">FutuNatura - Môj život</t>
  </si>
  <si>
    <t xml:space="preserve">https://www.futunatura.sk</t>
  </si>
  <si>
    <t xml:space="preserve">Own-brand supplements incl. gummies (hair/skin/nails, kids, creatine)</t>
  </si>
  <si>
    <t xml:space="preserve">Hair, Skin &amp; Nails gummies, 120 pcs (advertised)</t>
  </si>
  <si>
    <t xml:space="preserve">Weekly offer −15% on everything (19.99 → 14.99 €); quantity discount; free shipping over 35 €; gift over 50–100 €</t>
  </si>
  <si>
    <t xml:space="preserve">TummyTox Slovenská republika</t>
  </si>
  <si>
    <t xml:space="preserve">https://www.tummytox.sk</t>
  </si>
  <si>
    <t xml:space="preserve">Women's weight-loss &amp; beauty supplements: teas, gummies, bundles</t>
  </si>
  <si>
    <t xml:space="preserve">Yes (multivitamin gummies)</t>
  </si>
  <si>
    <t xml:space="preserve">Multivitamin Gummies 3-pack (180 days)</t>
  </si>
  <si>
    <t xml:space="preserve">−53% on the 3-pack (74.97 → 34.99 €); free shipping over 40 €; free gift over 50 €; −10% first order</t>
  </si>
  <si>
    <t xml:space="preserve">Croatia – stores selling gummies / supplements with Meta ads</t>
  </si>
  <si>
    <t xml:space="preserve">Carnium Botanicals Hrvatska</t>
  </si>
  <si>
    <t xml:space="preserve">https://zdravlje.carniumbotanicals.hr</t>
  </si>
  <si>
    <t xml:space="preserve">Herbal capsules for women's health, digestion (Bloat Aid, Her Biotic), menopause</t>
  </si>
  <si>
    <t xml:space="preserve">Women's herbal capsules (from)</t>
  </si>
  <si>
    <t xml:space="preserve">Code ŽENA20 −20% over 50 €; bundles −10% / −20%; free e-book; free delivery over 40–50 €; cash on delivery</t>
  </si>
  <si>
    <t xml:space="preserve">SenseFit Brand</t>
  </si>
  <si>
    <t xml:space="preserve">https://sensefit.shop</t>
  </si>
  <si>
    <t xml:space="preserve">Shilajit and other supplements</t>
  </si>
  <si>
    <t xml:space="preserve">No (resin/capsules)</t>
  </si>
  <si>
    <t xml:space="preserve">Shilajit (advertised)</t>
  </si>
  <si>
    <t xml:space="preserve">2 + 1 FREE (buy 2 boxes, 1 free); price cut 37.97 → 27.97 €</t>
  </si>
  <si>
    <t xml:space="preserve">Medex Hrvatska</t>
  </si>
  <si>
    <t xml:space="preserve">https://www.medexlife.hr</t>
  </si>
  <si>
    <t xml:space="preserve">Royal jelly, magnesium, kids supplements (Slovenian brand)</t>
  </si>
  <si>
    <t xml:space="preserve">Gelée Royale Junior (advertised)</t>
  </si>
  <si>
    <t xml:space="preserve">2+1 FREE on Gelée Royale packs; 3+1 FREE on Magnesium packs; up to −33%</t>
  </si>
  <si>
    <t xml:space="preserve">Sensilab.hr</t>
  </si>
  <si>
    <t xml:space="preserve">https://www.sensilab.hr</t>
  </si>
  <si>
    <t xml:space="preserve">Own-brand supplements (hormones, thyroid, liver, menopause), some gummies</t>
  </si>
  <si>
    <t xml:space="preserve">Milk-thistle capsules (bestseller)</t>
  </si>
  <si>
    <t xml:space="preserve">Bestsellers up to −58% (35.99 → 18.99 €); free delivery over 35 €</t>
  </si>
  <si>
    <t xml:space="preserve">Malinca</t>
  </si>
  <si>
    <t xml:space="preserve">https://www.malinca.hr</t>
  </si>
  <si>
    <t xml:space="preserve">Natural food, supplements &amp; cosmetics shop, incl. kids gummies</t>
  </si>
  <si>
    <t xml:space="preserve">Omega-3 gummies for kids (advertised)</t>
  </si>
  <si>
    <t xml:space="preserve">"Today 40–50% off everything"; bundles; free delivery over 55 €</t>
  </si>
  <si>
    <t xml:space="preserve">Redo Gummies</t>
  </si>
  <si>
    <t xml:space="preserve">https://redogummies.com</t>
  </si>
  <si>
    <t xml:space="preserve">Hair, Skin &amp; Nails vitamin gummies (single-product brand)</t>
  </si>
  <si>
    <t xml:space="preserve">REDO Hair, Skin &amp; Nails gummies, 60 pcs (1 month)</t>
  </si>
  <si>
    <t xml:space="preserve">No bundle shown on the product page</t>
  </si>
  <si>
    <t xml:space="preserve">Store prices are in Serbian dinars (RSD) – a Serbian brand that also targets Croatia with ads.</t>
  </si>
  <si>
    <t xml:space="preserve">FutuNatura - Moj život</t>
  </si>
  <si>
    <t xml:space="preserve">https://www.futunatura.hr</t>
  </si>
  <si>
    <t xml:space="preserve">Own-brand supplements incl. kids gummies</t>
  </si>
  <si>
    <t xml:space="preserve">TUMMY probiotic gummies for kids, 30 pcs (advertised)</t>
  </si>
  <si>
    <t xml:space="preserve">Weekly offer −15% on everything; quantity discount; free delivery over 39.99 €; free gift over 50 €</t>
  </si>
  <si>
    <t xml:space="preserve">Vitamincic</t>
  </si>
  <si>
    <t xml:space="preserve">https://vitamincic.com</t>
  </si>
  <si>
    <t xml:space="preserve">Liquid supplements: joint support, collagen, magnesium</t>
  </si>
  <si>
    <t xml:space="preserve">No (liquids)</t>
  </si>
  <si>
    <t xml:space="preserve">Magnesium glycinate 500 ml</t>
  </si>
  <si>
    <t xml:space="preserve">Markdowns −10% to −30% (e.g. Joint Support MAX 38.90 → 28.90 €); 10% off popup</t>
  </si>
  <si>
    <t xml:space="preserve">Czechia – stores selling gummies / supplements with Meta ads</t>
  </si>
  <si>
    <t xml:space="preserve">https://www.bloomrobbins.cz</t>
  </si>
  <si>
    <t xml:space="preserve">Bundles; 90-day money-back guarantee; free shipping over 1,500 Kč</t>
  </si>
  <si>
    <t xml:space="preserve">Same Facebook page as Bloom Robbins SK.</t>
  </si>
  <si>
    <t xml:space="preserve">Venira</t>
  </si>
  <si>
    <t xml:space="preserve">https://www.venira.cz</t>
  </si>
  <si>
    <t xml:space="preserve">Natural cosmetics + supplements (hair/skin/nails capsules, slimming)</t>
  </si>
  <si>
    <t xml:space="preserve">Hair, skin &amp; nails capsules – 40-day course, 80 caps</t>
  </si>
  <si>
    <t xml:space="preserve">Price cut 699 → 594 Kč; free shipping; short-expiry clearance</t>
  </si>
  <si>
    <t xml:space="preserve">Dafit.cz</t>
  </si>
  <si>
    <t xml:space="preserve">https://www.dafit.cz</t>
  </si>
  <si>
    <t xml:space="preserve">Sports nutrition shop (multi-brand), incl. creatine gummies</t>
  </si>
  <si>
    <t xml:space="preserve">Some (creatine gummies)</t>
  </si>
  <si>
    <t xml:space="preserve">Cheapest item on homepage</t>
  </si>
  <si>
    <t xml:space="preserve">Weekly promotions: 1+1 on ATP Creamelky creatine gummies, 1+1 on citrulline, free protein with whey</t>
  </si>
  <si>
    <t xml:space="preserve">Site shows EUR to non-CZ visitors; CZK prices on the CZ site. Oldest live ad: Meta throttled the lookup, true date may be earlier.</t>
  </si>
  <si>
    <t xml:space="preserve">Flownutrition CZ</t>
  </si>
  <si>
    <t xml:space="preserve">https://flow-nutrition.cz</t>
  </si>
  <si>
    <t xml:space="preserve">Premium own-made supplements (magnesium, daily essentials, beauty, creatine)</t>
  </si>
  <si>
    <t xml:space="preserve">D3 + K2 vegan oil</t>
  </si>
  <si>
    <t xml:space="preserve">Free zinc with orders over 1,700 Kč; bundles up to −30%</t>
  </si>
  <si>
    <t xml:space="preserve">Herbyway</t>
  </si>
  <si>
    <t xml:space="preserve">https://www.herbyway.cz</t>
  </si>
  <si>
    <t xml:space="preserve">Czech supplements: magnesium, milk thistle, ashwagandha</t>
  </si>
  <si>
    <t xml:space="preserve">No (capsules/drinks)</t>
  </si>
  <si>
    <t xml:space="preserve">Magnesium bisglycinate 1900 mg</t>
  </si>
  <si>
    <t xml:space="preserve">Magnesium Drink 2+1 FREE; 1+1 promos; milk-thistle bundle; free shipping</t>
  </si>
  <si>
    <t xml:space="preserve">ADVANCE nutraceutics</t>
  </si>
  <si>
    <t xml:space="preserve">https://www.nutraceutics.cz</t>
  </si>
  <si>
    <t xml:space="preserve">Czech-made capsules: probiotics, cholesterol, testosterone, sugar control</t>
  </si>
  <si>
    <t xml:space="preserve">Probio24 60 capsules</t>
  </si>
  <si>
    <t xml:space="preserve">ADVANCE DAYS: −50 Kč per item with code ADVANCE (359 → 309 Kč); free shipping with 3 items</t>
  </si>
  <si>
    <t xml:space="preserve">GUMMYLIFE.cz</t>
  </si>
  <si>
    <t xml:space="preserve">https://www.gummylife.cz</t>
  </si>
  <si>
    <t xml:space="preserve">CBD gummies (sleep, stress, pain)</t>
  </si>
  <si>
    <t xml:space="preserve">CBD Na Noc – ½ pack (advertised sleep page)</t>
  </si>
  <si>
    <t xml:space="preserve">"Balíček 3 v 1" bundle on sale; free shipping over 2,700 Kč; ships in 24 h</t>
  </si>
  <si>
    <t xml:space="preserve">Puravia</t>
  </si>
  <si>
    <t xml:space="preserve">https://www.puravia.cz</t>
  </si>
  <si>
    <t xml:space="preserve">Clean-label supplements incl. MycoGummies (mushroom gummies)</t>
  </si>
  <si>
    <t xml:space="preserve">Yes (MycoGummies)</t>
  </si>
  <si>
    <t xml:space="preserve">MycoGummies – mushroom gummies, 60 pcs</t>
  </si>
  <si>
    <t xml:space="preserve">Up to −15% on Garden of Life; gifts from 999 Kč (4 tiers); free shipping over 2,000 Kč</t>
  </si>
  <si>
    <t xml:space="preserve">Hungary – stores selling gummies / supplements with Meta ads</t>
  </si>
  <si>
    <t xml:space="preserve">Obstermann's (termeszetesgumicukor.hu)</t>
  </si>
  <si>
    <t xml:space="preserve">https://termeszetesgumicukor.hu</t>
  </si>
  <si>
    <t xml:space="preserve">Natural apple-based gummy vitamins (multivitamin, ACV, kids)</t>
  </si>
  <si>
    <t xml:space="preserve">"Four wishes" bundle – 4 products of choice</t>
  </si>
  <si>
    <t xml:space="preserve">−46% on the 4-product bundle (25,940 → 13,970 Ft); bigger bundle = bigger saving; 1,000 Ft coupon on first order</t>
  </si>
  <si>
    <t xml:space="preserve">Hairburst Hungary</t>
  </si>
  <si>
    <t xml:space="preserve">https://www.hairburst.com/hu-hu</t>
  </si>
  <si>
    <t xml:space="preserve">Hair-growth gummies, shampoos, elixirs (UK brand, HU page)</t>
  </si>
  <si>
    <t xml:space="preserve">Hajnövesztő Gumivitamin (hair gummies)</t>
  </si>
  <si>
    <t xml:space="preserve">1+1 FREE (buy one get one free, limited time)</t>
  </si>
  <si>
    <t xml:space="preserve">Shilami (shilajitgumivitamin.hu)</t>
  </si>
  <si>
    <t xml:space="preserve">https://shilajitgumivitamin.hu</t>
  </si>
  <si>
    <t xml:space="preserve">Shilajit gummies (men's and women's)</t>
  </si>
  <si>
    <t xml:space="preserve">Női (women's) Shilajit gummies, 30 days</t>
  </si>
  <si>
    <t xml:space="preserve">Women's version on sale 11,890 → 8,990 Ft; men's 11,890 Ft</t>
  </si>
  <si>
    <t xml:space="preserve">Queen's Ritual</t>
  </si>
  <si>
    <t xml:space="preserve">https://queensritual.hu</t>
  </si>
  <si>
    <t xml:space="preserve">Intimate-health gummies for women</t>
  </si>
  <si>
    <t xml:space="preserve">1 pack – 1-month course, 60 pcs</t>
  </si>
  <si>
    <t xml:space="preserve">1+1 FREE + free shipping (5,995 Ft/pack); 2+2 FREE (4,997 Ft/pack); "only 47 packs left at this price"</t>
  </si>
  <si>
    <t xml:space="preserve">Magic Hair HU</t>
  </si>
  <si>
    <t xml:space="preserve">https://magichair.hu</t>
  </si>
  <si>
    <t xml:space="preserve">Hair gummies (Keratin Bomb), hair tools, collagen products</t>
  </si>
  <si>
    <t xml:space="preserve">Bundle (advertised)</t>
  </si>
  <si>
    <t xml:space="preserve">Bundles at 50% off (13,000 → 6,500 Ft); "Halloween doubling"; free shipping over 20,000 Ft</t>
  </si>
  <si>
    <t xml:space="preserve">Marslakócskák</t>
  </si>
  <si>
    <t xml:space="preserve">https://www.marslakocskak.hu</t>
  </si>
  <si>
    <t xml:space="preserve">Kids multivitamins: gummies, chewables, syrups</t>
  </si>
  <si>
    <t xml:space="preserve">Prices not shown on the website (sold in pharmacies)</t>
  </si>
  <si>
    <t xml:space="preserve">Brand sold through pharmacies; no prices on its own site.</t>
  </si>
  <si>
    <t xml:space="preserve">Vitaful Magyarország</t>
  </si>
  <si>
    <t xml:space="preserve">https://vitaful.hu</t>
  </si>
  <si>
    <t xml:space="preserve">Vegan gummy vitamins for adults &amp; kids</t>
  </si>
  <si>
    <t xml:space="preserve">Hair gummies (Hajszépítő Gumivitamin)</t>
  </si>
  <si>
    <t xml:space="preserve">−15% / −20% markdowns (9,950 → 8,459 Ft); 1+1 promos; free delivery over 15,000 Ft</t>
  </si>
  <si>
    <t xml:space="preserve">Bioextra</t>
  </si>
  <si>
    <t xml:space="preserve">https://bioextra.hu</t>
  </si>
  <si>
    <t xml:space="preserve">Hungarian vitamin &amp; supplement brand (capsules, tablets)</t>
  </si>
  <si>
    <t xml:space="preserve">Bioextra C+D Forte retard, 100 caps (offer)</t>
  </si>
  <si>
    <t xml:space="preserve">"Only 990 Ft" deal on C+D Forte; free shipping over 10,000 Ft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</si>
</sst>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000"/>
    <numFmt numFmtId="167" formatCode="#,##0"/>
    <numFmt numFmtId="168" formatCode="#,##0.00&quot; €&quot;"/>
    <numFmt numFmtId="169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BG" displayName="T_BG" ref="A4:R14" headerRowCount="1" totalsRowCount="0" totalsRowShown="0">
  <autoFilter ref="A4:R14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2.xml><?xml version="1.0" encoding="utf-8"?>
<table xmlns="http://schemas.openxmlformats.org/spreadsheetml/2006/main" id="2" name="T_CZ" displayName="T_CZ" ref="A4:R12" headerRowCount="1" totalsRowCount="0" totalsRowShown="0">
  <autoFilter ref="A4:R12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3.xml><?xml version="1.0" encoding="utf-8"?>
<table xmlns="http://schemas.openxmlformats.org/spreadsheetml/2006/main" id="3" name="T_GR" displayName="T_GR" ref="A4:R12" headerRowCount="1" totalsRowCount="0" totalsRowShown="0">
  <autoFilter ref="A4:R12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4.xml><?xml version="1.0" encoding="utf-8"?>
<table xmlns="http://schemas.openxmlformats.org/spreadsheetml/2006/main" id="4" name="T_HR" displayName="T_HR" ref="A4:R12" headerRowCount="1" totalsRowCount="0" totalsRowShown="0">
  <autoFilter ref="A4:R12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5.xml><?xml version="1.0" encoding="utf-8"?>
<table xmlns="http://schemas.openxmlformats.org/spreadsheetml/2006/main" id="5" name="T_HU" displayName="T_HU" ref="A4:R12" headerRowCount="1" totalsRowCount="0" totalsRowShown="0">
  <autoFilter ref="A4:R12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6.xml><?xml version="1.0" encoding="utf-8"?>
<table xmlns="http://schemas.openxmlformats.org/spreadsheetml/2006/main" id="6" name="T_PL" displayName="T_PL" ref="A4:R16" headerRowCount="1" totalsRowCount="0" totalsRowShown="0">
  <autoFilter ref="A4:R16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7.xml><?xml version="1.0" encoding="utf-8"?>
<table xmlns="http://schemas.openxmlformats.org/spreadsheetml/2006/main" id="7" name="T_RO" displayName="T_RO" ref="A4:R12" headerRowCount="1" totalsRowCount="0" totalsRowShown="0">
  <autoFilter ref="A4:R12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8.xml><?xml version="1.0" encoding="utf-8"?>
<table xmlns="http://schemas.openxmlformats.org/spreadsheetml/2006/main" id="8" name="T_SI" displayName="T_SI" ref="A4:R11" headerRowCount="1" totalsRowCount="0" totalsRowShown="0">
  <autoFilter ref="A4:R11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9.xml><?xml version="1.0" encoding="utf-8"?>
<table xmlns="http://schemas.openxmlformats.org/spreadsheetml/2006/main" id="9" name="T_SK" displayName="T_SK" ref="A4:R10" headerRowCount="1" totalsRowCount="0" totalsRowShown="0">
  <autoFilter ref="A4:R10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noyopharm.com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109257380805325" TargetMode="External"/><Relationship Id="rId3" Type="http://schemas.openxmlformats.org/officeDocument/2006/relationships/hyperlink" Target="https://nutridome.pl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609798659223935" TargetMode="External"/><Relationship Id="rId5" Type="http://schemas.openxmlformats.org/officeDocument/2006/relationships/hyperlink" Target="https://labify.pl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543704642157582" TargetMode="External"/><Relationship Id="rId7" Type="http://schemas.openxmlformats.org/officeDocument/2006/relationships/hyperlink" Target="https://sundose.com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782981838224158" TargetMode="External"/><Relationship Id="rId9" Type="http://schemas.openxmlformats.org/officeDocument/2006/relationships/hyperlink" Target="https://noblehealth.pl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193703470669448" TargetMode="External"/><Relationship Id="rId11" Type="http://schemas.openxmlformats.org/officeDocument/2006/relationships/hyperlink" Target="https://fezi.pl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667057789835061" TargetMode="External"/><Relationship Id="rId13" Type="http://schemas.openxmlformats.org/officeDocument/2006/relationships/hyperlink" Target="https://ostrovit.com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30045730395754" TargetMode="External"/><Relationship Id="rId15" Type="http://schemas.openxmlformats.org/officeDocument/2006/relationships/hyperlink" Target="https://mynarum.com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05241082251990" TargetMode="External"/><Relationship Id="rId17" Type="http://schemas.openxmlformats.org/officeDocument/2006/relationships/hyperlink" Target="https://realpharm.eu/" TargetMode="External"/><Relationship Id="rId18" Type="http://schemas.openxmlformats.org/officeDocument/2006/relationships/hyperlink" Target="https://www.facebook.com/ads/library/?active_status=all&amp;ad_type=all&amp;country=ALL&amp;is_targeted_country=false&amp;media_type=all&amp;search_type=page&amp;view_all_page_id=358410044317771" TargetMode="External"/><Relationship Id="rId19" Type="http://schemas.openxmlformats.org/officeDocument/2006/relationships/hyperlink" Target="https://pandacare.pl/" TargetMode="External"/><Relationship Id="rId20" Type="http://schemas.openxmlformats.org/officeDocument/2006/relationships/hyperlink" Target="https://www.facebook.com/ads/library/?active_status=all&amp;ad_type=all&amp;country=ALL&amp;is_targeted_country=false&amp;media_type=all&amp;search_type=page&amp;view_all_page_id=255623034303037" TargetMode="External"/><Relationship Id="rId21" Type="http://schemas.openxmlformats.org/officeDocument/2006/relationships/hyperlink" Target="https://trichonex.doctorzakaria.com/l" TargetMode="External"/><Relationship Id="rId22" Type="http://schemas.openxmlformats.org/officeDocument/2006/relationships/hyperlink" Target="https://www.facebook.com/ads/library/?active_status=all&amp;ad_type=all&amp;country=ALL&amp;is_targeted_country=false&amp;media_type=all&amp;search_type=page&amp;view_all_page_id=106993089052078" TargetMode="External"/><Relationship Id="rId23" Type="http://schemas.openxmlformats.org/officeDocument/2006/relationships/hyperlink" Target="https://hellogummies.pl/" TargetMode="External"/><Relationship Id="rId24" Type="http://schemas.openxmlformats.org/officeDocument/2006/relationships/hyperlink" Target="https://www.facebook.com/ads/library/?active_status=all&amp;ad_type=all&amp;country=ALL&amp;is_targeted_country=false&amp;media_type=all&amp;search_type=page&amp;view_all_page_id=102348195358869" TargetMode="External"/><Relationship Id="rId25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futunatura.bg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111677498616199" TargetMode="External"/><Relationship Id="rId3" Type="http://schemas.openxmlformats.org/officeDocument/2006/relationships/hyperlink" Target="https://gymbeam.bg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262957171013776" TargetMode="External"/><Relationship Id="rId5" Type="http://schemas.openxmlformats.org/officeDocument/2006/relationships/hyperlink" Target="https://tryglowgummies.com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557249247463279" TargetMode="External"/><Relationship Id="rId7" Type="http://schemas.openxmlformats.org/officeDocument/2006/relationships/hyperlink" Target="https://shilajit-prime.shop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138007526054671" TargetMode="External"/><Relationship Id="rId9" Type="http://schemas.openxmlformats.org/officeDocument/2006/relationships/hyperlink" Target="https://vitaminsflow.com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404498622739906" TargetMode="External"/><Relationship Id="rId11" Type="http://schemas.openxmlformats.org/officeDocument/2006/relationships/hyperlink" Target="https://naturesway.bg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524034191027599" TargetMode="External"/><Relationship Id="rId13" Type="http://schemas.openxmlformats.org/officeDocument/2006/relationships/hyperlink" Target="https://vitalgummy.com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02788094699611" TargetMode="External"/><Relationship Id="rId15" Type="http://schemas.openxmlformats.org/officeDocument/2006/relationships/hyperlink" Target="https://theceel.bg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695795206947774" TargetMode="External"/><Relationship Id="rId17" Type="http://schemas.openxmlformats.org/officeDocument/2006/relationships/hyperlink" Target="https://leyra.bg/" TargetMode="External"/><Relationship Id="rId18" Type="http://schemas.openxmlformats.org/officeDocument/2006/relationships/hyperlink" Target="https://www.facebook.com/ads/library/?active_status=all&amp;ad_type=all&amp;country=ALL&amp;is_targeted_country=false&amp;media_type=all&amp;search_type=page&amp;view_all_page_id=1008467659006572" TargetMode="External"/><Relationship Id="rId19" Type="http://schemas.openxmlformats.org/officeDocument/2006/relationships/hyperlink" Target="https://revita.bg/" TargetMode="External"/><Relationship Id="rId20" Type="http://schemas.openxmlformats.org/officeDocument/2006/relationships/hyperlink" Target="https://www.facebook.com/ads/library/?active_status=all&amp;ad_type=all&amp;country=ALL&amp;is_targeted_country=false&amp;media_type=all&amp;search_type=page&amp;view_all_page_id=162420540454853" TargetMode="External"/><Relationship Id="rId2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futunatura.ro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107798655117594" TargetMode="External"/><Relationship Id="rId3" Type="http://schemas.openxmlformats.org/officeDocument/2006/relationships/hyperlink" Target="https://www.hairburst.com/ro-ro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100284711756334" TargetMode="External"/><Relationship Id="rId5" Type="http://schemas.openxmlformats.org/officeDocument/2006/relationships/hyperlink" Target="https://www.sanatatelatineacasa.ro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118680047851425" TargetMode="External"/><Relationship Id="rId7" Type="http://schemas.openxmlformats.org/officeDocument/2006/relationships/hyperlink" Target="https://www.rootfulnutrition.com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082090384983581" TargetMode="External"/><Relationship Id="rId9" Type="http://schemas.openxmlformats.org/officeDocument/2006/relationships/hyperlink" Target="https://www.weider.ro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214745222037857" TargetMode="External"/><Relationship Id="rId11" Type="http://schemas.openxmlformats.org/officeDocument/2006/relationships/hyperlink" Target="https://nutrizma.ro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05816505877158" TargetMode="External"/><Relationship Id="rId13" Type="http://schemas.openxmlformats.org/officeDocument/2006/relationships/hyperlink" Target="https://www.tummytox.ro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01409372578414" TargetMode="External"/><Relationship Id="rId15" Type="http://schemas.openxmlformats.org/officeDocument/2006/relationships/hyperlink" Target="https://www.gummy.ro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205177832684253" TargetMode="External"/><Relationship Id="rId17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futunatura.gr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269087659617983" TargetMode="External"/><Relationship Id="rId3" Type="http://schemas.openxmlformats.org/officeDocument/2006/relationships/hyperlink" Target="https://www.vita4you.gr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140645442627630" TargetMode="External"/><Relationship Id="rId5" Type="http://schemas.openxmlformats.org/officeDocument/2006/relationships/hyperlink" Target="https://linktr.ee/naturesplusgr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424752247394755" TargetMode="External"/><Relationship Id="rId7" Type="http://schemas.openxmlformats.org/officeDocument/2006/relationships/hyperlink" Target="https://www.pharm16.gr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446112065486336" TargetMode="External"/><Relationship Id="rId9" Type="http://schemas.openxmlformats.org/officeDocument/2006/relationships/hyperlink" Target="https://www.skroutz.gr/s/25692083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181154382001068" TargetMode="External"/><Relationship Id="rId11" Type="http://schemas.openxmlformats.org/officeDocument/2006/relationships/hyperlink" Target="https://www.pharmaspot.gr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06383677523117" TargetMode="External"/><Relationship Id="rId13" Type="http://schemas.openxmlformats.org/officeDocument/2006/relationships/hyperlink" Target="https://www.vican.gr/el/proionta.html?fylo=1223&amp;manufacturer=1246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328175794612635" TargetMode="External"/><Relationship Id="rId15" Type="http://schemas.openxmlformats.org/officeDocument/2006/relationships/hyperlink" Target="https://www.herbalist.gr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06666527765484" TargetMode="External"/><Relationship Id="rId17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goldentree.si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441366092621687" TargetMode="External"/><Relationship Id="rId3" Type="http://schemas.openxmlformats.org/officeDocument/2006/relationships/hyperlink" Target="https://www.sensilab.si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384202598293956" TargetMode="External"/><Relationship Id="rId5" Type="http://schemas.openxmlformats.org/officeDocument/2006/relationships/hyperlink" Target="https://www.malinca.si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315045128585718" TargetMode="External"/><Relationship Id="rId7" Type="http://schemas.openxmlformats.org/officeDocument/2006/relationships/hyperlink" Target="https://www.medex.si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10531405698083" TargetMode="External"/><Relationship Id="rId9" Type="http://schemas.openxmlformats.org/officeDocument/2006/relationships/hyperlink" Target="https://www.bloomrobbins.si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102978818540170" TargetMode="External"/><Relationship Id="rId11" Type="http://schemas.openxmlformats.org/officeDocument/2006/relationships/hyperlink" Target="https://valens.si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531821120224227" TargetMode="External"/><Relationship Id="rId13" Type="http://schemas.openxmlformats.org/officeDocument/2006/relationships/hyperlink" Target="https://lunigumi.si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485228634679965" TargetMode="External"/><Relationship Id="rId15" Type="http://schemas.openxmlformats.org/officeDocument/2006/relationships/table" Target="../tables/table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bloomrobbins.sk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105066267581063" TargetMode="External"/><Relationship Id="rId3" Type="http://schemas.openxmlformats.org/officeDocument/2006/relationships/hyperlink" Target="https://gymbeam.sk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323552507766469" TargetMode="External"/><Relationship Id="rId5" Type="http://schemas.openxmlformats.org/officeDocument/2006/relationships/hyperlink" Target="https://www.proteinaco.sk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489818484746089" TargetMode="External"/><Relationship Id="rId7" Type="http://schemas.openxmlformats.org/officeDocument/2006/relationships/hyperlink" Target="https://www.zdravysvet.sk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79007352274" TargetMode="External"/><Relationship Id="rId9" Type="http://schemas.openxmlformats.org/officeDocument/2006/relationships/hyperlink" Target="https://www.futunatura.sk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108106535349029" TargetMode="External"/><Relationship Id="rId11" Type="http://schemas.openxmlformats.org/officeDocument/2006/relationships/hyperlink" Target="https://www.tummytox.sk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235965633636001" TargetMode="External"/><Relationship Id="rId13" Type="http://schemas.openxmlformats.org/officeDocument/2006/relationships/table" Target="../tables/table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zdravlje.carniumbotanicals.hr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100703739705990" TargetMode="External"/><Relationship Id="rId3" Type="http://schemas.openxmlformats.org/officeDocument/2006/relationships/hyperlink" Target="https://sensefit.shop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691543874042578" TargetMode="External"/><Relationship Id="rId5" Type="http://schemas.openxmlformats.org/officeDocument/2006/relationships/hyperlink" Target="https://www.medexlife.hr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450331878724298" TargetMode="External"/><Relationship Id="rId7" Type="http://schemas.openxmlformats.org/officeDocument/2006/relationships/hyperlink" Target="https://www.sensilab.hr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365893093489281" TargetMode="External"/><Relationship Id="rId9" Type="http://schemas.openxmlformats.org/officeDocument/2006/relationships/hyperlink" Target="https://www.malinca.hr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265273510315490" TargetMode="External"/><Relationship Id="rId11" Type="http://schemas.openxmlformats.org/officeDocument/2006/relationships/hyperlink" Target="https://redogummies.com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11400202046691" TargetMode="External"/><Relationship Id="rId13" Type="http://schemas.openxmlformats.org/officeDocument/2006/relationships/hyperlink" Target="https://www.futunatura.hr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13371711268358" TargetMode="External"/><Relationship Id="rId15" Type="http://schemas.openxmlformats.org/officeDocument/2006/relationships/hyperlink" Target="https://vitamincic.com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06596341522259" TargetMode="External"/><Relationship Id="rId17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bloomrobbins.cz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105066267581063" TargetMode="External"/><Relationship Id="rId3" Type="http://schemas.openxmlformats.org/officeDocument/2006/relationships/hyperlink" Target="https://www.venira.cz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110341582961378" TargetMode="External"/><Relationship Id="rId5" Type="http://schemas.openxmlformats.org/officeDocument/2006/relationships/hyperlink" Target="https://www.dafit.cz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107375951226279" TargetMode="External"/><Relationship Id="rId7" Type="http://schemas.openxmlformats.org/officeDocument/2006/relationships/hyperlink" Target="https://flow-nutrition.cz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366170683742607" TargetMode="External"/><Relationship Id="rId9" Type="http://schemas.openxmlformats.org/officeDocument/2006/relationships/hyperlink" Target="https://www.herbyway.cz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534481529756228" TargetMode="External"/><Relationship Id="rId11" Type="http://schemas.openxmlformats.org/officeDocument/2006/relationships/hyperlink" Target="https://www.nutraceutics.cz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629763350497904" TargetMode="External"/><Relationship Id="rId13" Type="http://schemas.openxmlformats.org/officeDocument/2006/relationships/hyperlink" Target="https://www.gummylife.cz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08234128695184" TargetMode="External"/><Relationship Id="rId15" Type="http://schemas.openxmlformats.org/officeDocument/2006/relationships/hyperlink" Target="https://www.puravia.cz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264084463761923" TargetMode="External"/><Relationship Id="rId17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termeszetesgumicukor.hu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473973456114323" TargetMode="External"/><Relationship Id="rId3" Type="http://schemas.openxmlformats.org/officeDocument/2006/relationships/hyperlink" Target="https://www.hairburst.com/hu-hu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102061115678532" TargetMode="External"/><Relationship Id="rId5" Type="http://schemas.openxmlformats.org/officeDocument/2006/relationships/hyperlink" Target="https://shilajitgumivitamin.hu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1221872937677917" TargetMode="External"/><Relationship Id="rId7" Type="http://schemas.openxmlformats.org/officeDocument/2006/relationships/hyperlink" Target="https://queensritual.hu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129133186960653" TargetMode="External"/><Relationship Id="rId9" Type="http://schemas.openxmlformats.org/officeDocument/2006/relationships/hyperlink" Target="https://magichair.hu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401692540229568" TargetMode="External"/><Relationship Id="rId11" Type="http://schemas.openxmlformats.org/officeDocument/2006/relationships/hyperlink" Target="https://www.marslakocskak.hu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559779987664704" TargetMode="External"/><Relationship Id="rId13" Type="http://schemas.openxmlformats.org/officeDocument/2006/relationships/hyperlink" Target="https://vitaful.hu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04271914498301" TargetMode="External"/><Relationship Id="rId15" Type="http://schemas.openxmlformats.org/officeDocument/2006/relationships/hyperlink" Target="https://bioextra.hu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72872239429224" TargetMode="External"/><Relationship Id="rId17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  <c r="B3" s="4" t="n">
        <v>46300</v>
      </c>
    </row>
    <row r="4" customFormat="false" ht="15" hidden="false" customHeight="false" outlineLevel="0" collapsed="false">
      <c r="A4" s="2" t="s">
        <v>2</v>
      </c>
      <c r="B4" s="5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6" t="s">
        <v>4</v>
      </c>
    </row>
    <row r="7" customFormat="false" ht="15" hidden="false" customHeight="false" outlineLevel="0" collapsed="false">
      <c r="A7" s="2" t="s">
        <v>5</v>
      </c>
      <c r="B7" s="5" t="s">
        <v>6</v>
      </c>
    </row>
    <row r="8" customFormat="false" ht="15" hidden="false" customHeight="false" outlineLevel="0" collapsed="false">
      <c r="A8" s="2" t="s">
        <v>7</v>
      </c>
      <c r="B8" s="5" t="s">
        <v>8</v>
      </c>
    </row>
    <row r="9" customFormat="false" ht="15" hidden="false" customHeight="false" outlineLevel="0" collapsed="false">
      <c r="A9" s="2" t="s">
        <v>9</v>
      </c>
      <c r="B9" s="5" t="s">
        <v>10</v>
      </c>
    </row>
    <row r="10" customFormat="false" ht="15" hidden="false" customHeight="false" outlineLevel="0" collapsed="false">
      <c r="A10" s="2" t="s">
        <v>11</v>
      </c>
      <c r="B10" s="5" t="s">
        <v>12</v>
      </c>
    </row>
    <row r="11" customFormat="false" ht="15" hidden="false" customHeight="false" outlineLevel="0" collapsed="false">
      <c r="A11" s="2" t="s">
        <v>13</v>
      </c>
      <c r="B11" s="5" t="s">
        <v>14</v>
      </c>
    </row>
    <row r="12" customFormat="false" ht="15" hidden="false" customHeight="false" outlineLevel="0" collapsed="false">
      <c r="A12" s="2" t="s">
        <v>15</v>
      </c>
      <c r="B12" s="5" t="s">
        <v>16</v>
      </c>
    </row>
    <row r="13" customFormat="false" ht="15" hidden="false" customHeight="false" outlineLevel="0" collapsed="false">
      <c r="A13" s="2" t="s">
        <v>17</v>
      </c>
      <c r="B13" s="5" t="s">
        <v>18</v>
      </c>
    </row>
    <row r="14" customFormat="false" ht="15" hidden="false" customHeight="false" outlineLevel="0" collapsed="false">
      <c r="A14" s="2" t="s">
        <v>19</v>
      </c>
      <c r="B14" s="5" t="s">
        <v>20</v>
      </c>
    </row>
    <row r="15" customFormat="false" ht="15" hidden="false" customHeight="false" outlineLevel="0" collapsed="false">
      <c r="A15" s="2" t="s">
        <v>21</v>
      </c>
      <c r="B15" s="5" t="s">
        <v>22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6" t="s">
        <v>23</v>
      </c>
    </row>
    <row r="18" customFormat="false" ht="23.85" hidden="false" customHeight="false" outlineLevel="0" collapsed="false">
      <c r="A18" s="2" t="s">
        <v>24</v>
      </c>
      <c r="B18" s="5" t="s">
        <v>25</v>
      </c>
    </row>
    <row r="19" customFormat="false" ht="15" hidden="false" customHeight="false" outlineLevel="0" collapsed="false">
      <c r="A19" s="2" t="s">
        <v>26</v>
      </c>
      <c r="B19" s="5" t="s">
        <v>27</v>
      </c>
    </row>
    <row r="20" customFormat="false" ht="15" hidden="false" customHeight="false" outlineLevel="0" collapsed="false">
      <c r="A20" s="2" t="s">
        <v>28</v>
      </c>
      <c r="B20" s="5" t="s">
        <v>29</v>
      </c>
    </row>
    <row r="21" customFormat="false" ht="23.85" hidden="false" customHeight="false" outlineLevel="0" collapsed="false">
      <c r="A21" s="2" t="s">
        <v>30</v>
      </c>
      <c r="B21" s="5" t="s">
        <v>31</v>
      </c>
    </row>
    <row r="22" customFormat="false" ht="15" hidden="false" customHeight="false" outlineLevel="0" collapsed="false">
      <c r="A22" s="2" t="s">
        <v>32</v>
      </c>
      <c r="B22" s="5" t="s">
        <v>33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6" t="s">
        <v>34</v>
      </c>
    </row>
    <row r="25" customFormat="false" ht="15" hidden="false" customHeight="false" outlineLevel="0" collapsed="false">
      <c r="A25" s="2" t="s">
        <v>35</v>
      </c>
      <c r="B25" s="5" t="s">
        <v>36</v>
      </c>
    </row>
    <row r="26" customFormat="false" ht="15" hidden="false" customHeight="false" outlineLevel="0" collapsed="false">
      <c r="A26" s="2" t="s">
        <v>37</v>
      </c>
      <c r="B26" s="5" t="s">
        <v>38</v>
      </c>
    </row>
    <row r="27" customFormat="false" ht="15" hidden="false" customHeight="false" outlineLevel="0" collapsed="false">
      <c r="A27" s="2" t="s">
        <v>39</v>
      </c>
      <c r="B27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7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8" t="s">
        <v>43</v>
      </c>
      <c r="B4" s="8" t="s">
        <v>44</v>
      </c>
    </row>
    <row r="5" customFormat="false" ht="15" hidden="false" customHeight="false" outlineLevel="0" collapsed="false">
      <c r="A5" s="2" t="s">
        <v>45</v>
      </c>
      <c r="B5" s="9" t="n">
        <v>1</v>
      </c>
    </row>
    <row r="6" customFormat="false" ht="15" hidden="false" customHeight="false" outlineLevel="0" collapsed="false">
      <c r="A6" s="2" t="s">
        <v>46</v>
      </c>
      <c r="B6" s="9" t="n">
        <v>0.235</v>
      </c>
    </row>
    <row r="7" customFormat="false" ht="15" hidden="false" customHeight="false" outlineLevel="0" collapsed="false">
      <c r="A7" s="2" t="s">
        <v>47</v>
      </c>
      <c r="B7" s="9" t="n">
        <v>0.197</v>
      </c>
    </row>
    <row r="8" customFormat="false" ht="15" hidden="false" customHeight="false" outlineLevel="0" collapsed="false">
      <c r="A8" s="2" t="s">
        <v>48</v>
      </c>
      <c r="B8" s="9" t="n">
        <v>0.0405</v>
      </c>
    </row>
    <row r="9" customFormat="false" ht="15" hidden="false" customHeight="false" outlineLevel="0" collapsed="false">
      <c r="A9" s="2" t="s">
        <v>49</v>
      </c>
      <c r="B9" s="9" t="n">
        <v>0.00255</v>
      </c>
    </row>
    <row r="10" customFormat="false" ht="15" hidden="false" customHeight="false" outlineLevel="0" collapsed="false">
      <c r="A10" s="2" t="s">
        <v>50</v>
      </c>
      <c r="B10" s="9" t="n">
        <v>0.5113</v>
      </c>
    </row>
    <row r="11" customFormat="false" ht="15" hidden="false" customHeight="false" outlineLevel="0" collapsed="false">
      <c r="A11" s="2" t="s">
        <v>51</v>
      </c>
      <c r="B11" s="9" t="n">
        <v>0.00853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6" min="4" style="0" width="14"/>
    <col collapsed="false" customWidth="true" hidden="false" outlineLevel="0" max="7" min="7" style="0" width="30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0" t="s">
        <v>52</v>
      </c>
    </row>
    <row r="3" customFormat="false" ht="31.5" hidden="false" customHeight="true" outlineLevel="0" collapsed="false">
      <c r="A3" s="11" t="s">
        <v>53</v>
      </c>
      <c r="B3" s="11" t="s">
        <v>54</v>
      </c>
      <c r="C3" s="11" t="s">
        <v>55</v>
      </c>
      <c r="D3" s="11" t="s">
        <v>56</v>
      </c>
      <c r="E3" s="11" t="s">
        <v>57</v>
      </c>
      <c r="F3" s="11" t="s">
        <v>58</v>
      </c>
      <c r="G3" s="11" t="s">
        <v>59</v>
      </c>
      <c r="H3" s="11" t="s">
        <v>60</v>
      </c>
    </row>
    <row r="4" customFormat="false" ht="15" hidden="false" customHeight="false" outlineLevel="0" collapsed="false">
      <c r="A4" s="12" t="s">
        <v>61</v>
      </c>
      <c r="B4" s="12" t="n">
        <f aca="false">COUNTA(Poland!$B$5:$B$16)</f>
        <v>12</v>
      </c>
      <c r="C4" s="12" t="n">
        <f aca="false">COUNTIF(Poland!$F$5:$F$16,"Yes*")</f>
        <v>5</v>
      </c>
      <c r="D4" s="13" t="n">
        <f aca="false">SUM(Poland!$N$5:$N$16)</f>
        <v>20591</v>
      </c>
      <c r="E4" s="13" t="n">
        <f aca="false">SUM(Poland!$O$5:$O$16)</f>
        <v>2471</v>
      </c>
      <c r="F4" s="14" t="n">
        <f aca="false">IFERROR(MEDIAN(Poland!$J$5:$J$16),"")</f>
        <v>11.337575</v>
      </c>
      <c r="G4" s="12" t="str">
        <f aca="false">INDEX(Poland!$B$5:$B$16,MATCH(MAX(Poland!$N$5:$N$16),Poland!$N$5:$N$16,0))</f>
        <v>NOYO</v>
      </c>
      <c r="H4" s="15" t="n">
        <f aca="false">IF(COUNT(Poland!$L$5:$L$16)=0,"",MIN(Poland!$L$5:$L$16))</f>
        <v>44736</v>
      </c>
    </row>
    <row r="5" customFormat="false" ht="15" hidden="false" customHeight="false" outlineLevel="0" collapsed="false">
      <c r="A5" s="12" t="s">
        <v>62</v>
      </c>
      <c r="B5" s="12" t="n">
        <f aca="false">COUNTA(Bulgaria!$B$5:$B$14)</f>
        <v>10</v>
      </c>
      <c r="C5" s="12" t="n">
        <f aca="false">COUNTIF(Bulgaria!$F$5:$F$14,"Yes*")</f>
        <v>9</v>
      </c>
      <c r="D5" s="13" t="n">
        <f aca="false">SUM(Bulgaria!$N$5:$N$14)</f>
        <v>8616</v>
      </c>
      <c r="E5" s="13" t="n">
        <f aca="false">SUM(Bulgaria!$O$5:$O$14)</f>
        <v>937</v>
      </c>
      <c r="F5" s="14" t="n">
        <f aca="false">IFERROR(MEDIAN(Bulgaria!$J$5:$J$14),"")</f>
        <v>19.89</v>
      </c>
      <c r="G5" s="12" t="str">
        <f aca="false">INDEX(Bulgaria!$B$5:$B$14,MATCH(MAX(Bulgaria!$N$5:$N$14),Bulgaria!$N$5:$N$14,0))</f>
        <v>FutuNatura.bg</v>
      </c>
      <c r="H5" s="15" t="n">
        <f aca="false">IF(COUNT(Bulgaria!$L$5:$L$14)=0,"",MIN(Bulgaria!$L$5:$L$14))</f>
        <v>44441</v>
      </c>
    </row>
    <row r="6" customFormat="false" ht="15" hidden="false" customHeight="false" outlineLevel="0" collapsed="false">
      <c r="A6" s="12" t="s">
        <v>63</v>
      </c>
      <c r="B6" s="12" t="n">
        <f aca="false">COUNTA(Romania!$B$5:$B$12)</f>
        <v>8</v>
      </c>
      <c r="C6" s="12" t="n">
        <f aca="false">COUNTIF(Romania!$F$5:$F$12,"Yes*")</f>
        <v>5</v>
      </c>
      <c r="D6" s="13" t="n">
        <f aca="false">SUM(Romania!$N$5:$N$12)</f>
        <v>5763</v>
      </c>
      <c r="E6" s="13" t="n">
        <f aca="false">SUM(Romania!$O$5:$O$12)</f>
        <v>294</v>
      </c>
      <c r="F6" s="14" t="n">
        <f aca="false">IFERROR(MEDIAN(Romania!$J$5:$J$12),"")</f>
        <v>20.882</v>
      </c>
      <c r="G6" s="12" t="str">
        <f aca="false">INDEX(Romania!$B$5:$B$12,MATCH(MAX(Romania!$N$5:$N$12),Romania!$N$5:$N$12,0))</f>
        <v>FutuNatura.ro</v>
      </c>
      <c r="H6" s="15" t="n">
        <f aca="false">IF(COUNT(Romania!$L$5:$L$12)=0,"",MIN(Romania!$L$5:$L$12))</f>
        <v>45481</v>
      </c>
    </row>
    <row r="7" customFormat="false" ht="15" hidden="false" customHeight="false" outlineLevel="0" collapsed="false">
      <c r="A7" s="12" t="s">
        <v>64</v>
      </c>
      <c r="B7" s="12" t="n">
        <f aca="false">COUNTA(Greece!$B$5:$B$12)</f>
        <v>8</v>
      </c>
      <c r="C7" s="12" t="n">
        <f aca="false">COUNTIF(Greece!$F$5:$F$12,"Yes*")</f>
        <v>5</v>
      </c>
      <c r="D7" s="13" t="n">
        <f aca="false">SUM(Greece!$N$5:$N$12)</f>
        <v>4547</v>
      </c>
      <c r="E7" s="13" t="n">
        <f aca="false">SUM(Greece!$O$5:$O$12)</f>
        <v>285</v>
      </c>
      <c r="F7" s="14" t="n">
        <f aca="false">IFERROR(MEDIAN(Greece!$J$5:$J$12),"")</f>
        <v>13.92</v>
      </c>
      <c r="G7" s="12" t="str">
        <f aca="false">INDEX(Greece!$B$5:$B$12,MATCH(MAX(Greece!$N$5:$N$12),Greece!$N$5:$N$12,0))</f>
        <v>FutuNatura.gr</v>
      </c>
      <c r="H7" s="15" t="n">
        <f aca="false">IF(COUNT(Greece!$L$5:$L$12)=0,"",MIN(Greece!$L$5:$L$12))</f>
        <v>45308</v>
      </c>
    </row>
    <row r="8" customFormat="false" ht="15" hidden="false" customHeight="false" outlineLevel="0" collapsed="false">
      <c r="A8" s="12" t="s">
        <v>65</v>
      </c>
      <c r="B8" s="12" t="n">
        <f aca="false">COUNTA(Slovenia!$B$5:$B$11)</f>
        <v>7</v>
      </c>
      <c r="C8" s="12" t="n">
        <f aca="false">COUNTIF(Slovenia!$F$5:$F$11,"Yes*")</f>
        <v>3</v>
      </c>
      <c r="D8" s="13" t="n">
        <f aca="false">SUM(Slovenia!$N$5:$N$11)</f>
        <v>19634</v>
      </c>
      <c r="E8" s="13" t="n">
        <f aca="false">SUM(Slovenia!$O$5:$O$11)</f>
        <v>1581</v>
      </c>
      <c r="F8" s="14" t="n">
        <f aca="false">IFERROR(MEDIAN(Slovenia!$J$5:$J$11),"")</f>
        <v>22.57</v>
      </c>
      <c r="G8" s="12" t="str">
        <f aca="false">INDEX(Slovenia!$B$5:$B$11,MATCH(MAX(Slovenia!$N$5:$N$11),Slovenia!$N$5:$N$11,0))</f>
        <v>Golden Tree Slovenija</v>
      </c>
      <c r="H8" s="15" t="n">
        <f aca="false">IF(COUNT(Slovenia!$L$5:$L$11)=0,"",MIN(Slovenia!$L$5:$L$11))</f>
        <v>43941</v>
      </c>
    </row>
    <row r="9" customFormat="false" ht="15" hidden="false" customHeight="false" outlineLevel="0" collapsed="false">
      <c r="A9" s="12" t="s">
        <v>66</v>
      </c>
      <c r="B9" s="12" t="n">
        <f aca="false">COUNTA(Slovakia!$B$5:$B$10)</f>
        <v>6</v>
      </c>
      <c r="C9" s="12" t="n">
        <f aca="false">COUNTIF(Slovakia!$F$5:$F$10,"Yes*")</f>
        <v>5</v>
      </c>
      <c r="D9" s="13" t="n">
        <f aca="false">SUM(Slovakia!$N$5:$N$10)</f>
        <v>11809</v>
      </c>
      <c r="E9" s="13" t="n">
        <f aca="false">SUM(Slovakia!$O$5:$O$10)</f>
        <v>981</v>
      </c>
      <c r="F9" s="14" t="n">
        <f aca="false">IFERROR(MEDIAN(Slovakia!$J$5:$J$10),"")</f>
        <v>22.47</v>
      </c>
      <c r="G9" s="12" t="str">
        <f aca="false">INDEX(Slovakia!$B$5:$B$10,MATCH(MAX(Slovakia!$N$5:$N$10),Slovakia!$N$5:$N$10,0))</f>
        <v>Bloom Robbins SK/CZ</v>
      </c>
      <c r="H9" s="15" t="n">
        <f aca="false">IF(COUNT(Slovakia!$L$5:$L$10)=0,"",MIN(Slovakia!$L$5:$L$10))</f>
        <v>45349</v>
      </c>
    </row>
    <row r="10" customFormat="false" ht="15" hidden="false" customHeight="false" outlineLevel="0" collapsed="false">
      <c r="A10" s="12" t="s">
        <v>67</v>
      </c>
      <c r="B10" s="12" t="n">
        <f aca="false">COUNTA(Croatia!$B$5:$B$12)</f>
        <v>8</v>
      </c>
      <c r="C10" s="12" t="n">
        <f aca="false">COUNTIF(Croatia!$F$5:$F$12,"Yes*")</f>
        <v>3</v>
      </c>
      <c r="D10" s="13" t="n">
        <f aca="false">SUM(Croatia!$N$5:$N$12)</f>
        <v>16054</v>
      </c>
      <c r="E10" s="13" t="n">
        <f aca="false">SUM(Croatia!$O$5:$O$12)</f>
        <v>1378</v>
      </c>
      <c r="F10" s="14" t="n">
        <f aca="false">IFERROR(MEDIAN(Croatia!$J$5:$J$12),"")</f>
        <v>18.83535</v>
      </c>
      <c r="G10" s="12" t="str">
        <f aca="false">INDEX(Croatia!$B$5:$B$12,MATCH(MAX(Croatia!$N$5:$N$12),Croatia!$N$5:$N$12,0))</f>
        <v>Carnium Botanicals Hrvatska</v>
      </c>
      <c r="H10" s="15" t="n">
        <f aca="false">IF(COUNT(Croatia!$L$5:$L$12)=0,"",MIN(Croatia!$L$5:$L$12))</f>
        <v>45155</v>
      </c>
    </row>
    <row r="11" customFormat="false" ht="15" hidden="false" customHeight="false" outlineLevel="0" collapsed="false">
      <c r="A11" s="12" t="s">
        <v>68</v>
      </c>
      <c r="B11" s="12" t="n">
        <f aca="false">COUNTA(Czechia!$B$5:$B$12)</f>
        <v>8</v>
      </c>
      <c r="C11" s="12" t="n">
        <f aca="false">COUNTIF(Czechia!$F$5:$F$12,"Yes*")</f>
        <v>3</v>
      </c>
      <c r="D11" s="13" t="n">
        <f aca="false">SUM(Czechia!$N$5:$N$12)</f>
        <v>18584</v>
      </c>
      <c r="E11" s="13" t="n">
        <f aca="false">SUM(Czechia!$O$5:$O$12)</f>
        <v>1082</v>
      </c>
      <c r="F11" s="14" t="n">
        <f aca="false">IFERROR(MEDIAN(Czechia!$J$5:$J$12),"")</f>
        <v>16.4575</v>
      </c>
      <c r="G11" s="12" t="str">
        <f aca="false">INDEX(Czechia!$B$5:$B$12,MATCH(MAX(Czechia!$N$5:$N$12),Czechia!$N$5:$N$12,0))</f>
        <v>Bloom Robbins SK/CZ</v>
      </c>
      <c r="H11" s="15" t="n">
        <f aca="false">IF(COUNT(Czechia!$L$5:$L$12)=0,"",MIN(Czechia!$L$5:$L$12))</f>
        <v>45118</v>
      </c>
    </row>
    <row r="12" customFormat="false" ht="15" hidden="false" customHeight="false" outlineLevel="0" collapsed="false">
      <c r="A12" s="12" t="s">
        <v>69</v>
      </c>
      <c r="B12" s="12" t="n">
        <f aca="false">COUNTA(Hungary!$B$5:$B$12)</f>
        <v>8</v>
      </c>
      <c r="C12" s="12" t="n">
        <f aca="false">COUNTIF(Hungary!$F$5:$F$12,"Yes*")</f>
        <v>7</v>
      </c>
      <c r="D12" s="13" t="n">
        <f aca="false">SUM(Hungary!$N$5:$N$12)</f>
        <v>2862</v>
      </c>
      <c r="E12" s="13" t="n">
        <f aca="false">SUM(Hungary!$O$5:$O$12)</f>
        <v>431</v>
      </c>
      <c r="F12" s="14" t="n">
        <f aca="false">IFERROR(MEDIAN(Hungary!$J$5:$J$12),"")</f>
        <v>22.9245</v>
      </c>
      <c r="G12" s="12" t="str">
        <f aca="false">INDEX(Hungary!$B$5:$B$12,MATCH(MAX(Hungary!$N$5:$N$12),Hungary!$N$5:$N$12,0))</f>
        <v>Obstermann's (termeszetesgumicukor.hu)</v>
      </c>
      <c r="H12" s="15" t="n">
        <f aca="false">IF(COUNT(Hungary!$L$5:$L$12)=0,"",MIN(Hungary!$L$5:$L$12))</f>
        <v>44673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70</v>
      </c>
    </row>
    <row r="2" customFormat="false" ht="15" hidden="false" customHeight="false" outlineLevel="0" collapsed="false">
      <c r="A2" s="16" t="s">
        <v>71</v>
      </c>
    </row>
    <row r="4" customFormat="false" ht="42" hidden="false" customHeight="true" outlineLevel="0" collapsed="false">
      <c r="A4" s="11" t="s">
        <v>72</v>
      </c>
      <c r="B4" s="11" t="s">
        <v>73</v>
      </c>
      <c r="C4" s="11" t="s">
        <v>5</v>
      </c>
      <c r="D4" s="11" t="s">
        <v>7</v>
      </c>
      <c r="E4" s="11" t="s">
        <v>74</v>
      </c>
      <c r="F4" s="11" t="s">
        <v>75</v>
      </c>
      <c r="G4" s="11" t="s">
        <v>76</v>
      </c>
      <c r="H4" s="11" t="s">
        <v>77</v>
      </c>
      <c r="I4" s="11" t="s">
        <v>43</v>
      </c>
      <c r="J4" s="11" t="s">
        <v>78</v>
      </c>
      <c r="K4" s="11" t="s">
        <v>11</v>
      </c>
      <c r="L4" s="11" t="s">
        <v>79</v>
      </c>
      <c r="M4" s="11" t="s">
        <v>80</v>
      </c>
      <c r="N4" s="11" t="s">
        <v>81</v>
      </c>
      <c r="O4" s="11" t="s">
        <v>17</v>
      </c>
      <c r="P4" s="11" t="s">
        <v>19</v>
      </c>
      <c r="Q4" s="11" t="s">
        <v>82</v>
      </c>
      <c r="R4" s="11" t="s">
        <v>83</v>
      </c>
    </row>
    <row r="5" customFormat="false" ht="42" hidden="false" customHeight="true" outlineLevel="0" collapsed="false">
      <c r="A5" s="17" t="n">
        <v>1</v>
      </c>
      <c r="B5" s="17" t="s">
        <v>84</v>
      </c>
      <c r="C5" s="18" t="s">
        <v>85</v>
      </c>
      <c r="D5" s="18" t="s">
        <v>86</v>
      </c>
      <c r="E5" s="17" t="s">
        <v>87</v>
      </c>
      <c r="F5" s="17" t="s">
        <v>88</v>
      </c>
      <c r="G5" s="17" t="s">
        <v>89</v>
      </c>
      <c r="H5" s="19" t="n">
        <v>129</v>
      </c>
      <c r="I5" s="17" t="s">
        <v>46</v>
      </c>
      <c r="J5" s="20" t="n">
        <f aca="false">IF(H5="","",H5*INDEX(FX!$B$5:$B$11,MATCH(I5,FX!$A$5:$A$11,0)))</f>
        <v>30.315</v>
      </c>
      <c r="K5" s="17" t="s">
        <v>90</v>
      </c>
      <c r="L5" s="21" t="n">
        <v>45849</v>
      </c>
      <c r="M5" s="22" t="n">
        <f aca="false">IF(L5="","",'Read me'!$B$3-L5)</f>
        <v>451</v>
      </c>
      <c r="N5" s="23" t="n">
        <v>9071</v>
      </c>
      <c r="O5" s="23" t="n">
        <v>689</v>
      </c>
      <c r="P5" s="21" t="n">
        <v>46186</v>
      </c>
      <c r="Q5" s="22" t="n">
        <f aca="false">IF(P5="","",'Read me'!$B$3-P5)</f>
        <v>114</v>
      </c>
      <c r="R5" s="17"/>
    </row>
    <row r="6" customFormat="false" ht="28.5" hidden="false" customHeight="true" outlineLevel="0" collapsed="false">
      <c r="A6" s="17" t="n">
        <v>2</v>
      </c>
      <c r="B6" s="17" t="s">
        <v>91</v>
      </c>
      <c r="C6" s="18" t="s">
        <v>92</v>
      </c>
      <c r="D6" s="18" t="s">
        <v>86</v>
      </c>
      <c r="E6" s="17" t="s">
        <v>93</v>
      </c>
      <c r="F6" s="17" t="s">
        <v>94</v>
      </c>
      <c r="G6" s="17" t="s">
        <v>95</v>
      </c>
      <c r="H6" s="19" t="n">
        <v>64.99</v>
      </c>
      <c r="I6" s="17" t="s">
        <v>46</v>
      </c>
      <c r="J6" s="20" t="n">
        <f aca="false">IF(H6="","",H6*INDEX(FX!$B$5:$B$11,MATCH(I6,FX!$A$5:$A$11,0)))</f>
        <v>15.27265</v>
      </c>
      <c r="K6" s="17" t="s">
        <v>96</v>
      </c>
      <c r="L6" s="21" t="n">
        <v>45672</v>
      </c>
      <c r="M6" s="22" t="n">
        <f aca="false">IF(L6="","",'Read me'!$B$3-L6)</f>
        <v>628</v>
      </c>
      <c r="N6" s="23" t="n">
        <v>5439</v>
      </c>
      <c r="O6" s="23" t="n">
        <v>1017</v>
      </c>
      <c r="P6" s="21" t="n">
        <v>45860</v>
      </c>
      <c r="Q6" s="22" t="n">
        <f aca="false">IF(P6="","",'Read me'!$B$3-P6)</f>
        <v>440</v>
      </c>
      <c r="R6" s="17"/>
    </row>
    <row r="7" customFormat="false" ht="28.5" hidden="false" customHeight="true" outlineLevel="0" collapsed="false">
      <c r="A7" s="17" t="n">
        <v>3</v>
      </c>
      <c r="B7" s="17" t="s">
        <v>97</v>
      </c>
      <c r="C7" s="18" t="s">
        <v>98</v>
      </c>
      <c r="D7" s="18" t="s">
        <v>86</v>
      </c>
      <c r="E7" s="17" t="s">
        <v>99</v>
      </c>
      <c r="F7" s="17" t="s">
        <v>100</v>
      </c>
      <c r="G7" s="17" t="s">
        <v>101</v>
      </c>
      <c r="H7" s="19" t="n">
        <v>49</v>
      </c>
      <c r="I7" s="17" t="s">
        <v>46</v>
      </c>
      <c r="J7" s="20" t="n">
        <f aca="false">IF(H7="","",H7*INDEX(FX!$B$5:$B$11,MATCH(I7,FX!$A$5:$A$11,0)))</f>
        <v>11.515</v>
      </c>
      <c r="K7" s="17" t="s">
        <v>102</v>
      </c>
      <c r="L7" s="21" t="n">
        <v>45819</v>
      </c>
      <c r="M7" s="22" t="n">
        <f aca="false">IF(L7="","",'Read me'!$B$3-L7)</f>
        <v>481</v>
      </c>
      <c r="N7" s="23" t="n">
        <v>2305</v>
      </c>
      <c r="O7" s="23" t="n">
        <v>233</v>
      </c>
      <c r="P7" s="21" t="n">
        <v>46225</v>
      </c>
      <c r="Q7" s="22" t="n">
        <f aca="false">IF(P7="","",'Read me'!$B$3-P7)</f>
        <v>75</v>
      </c>
      <c r="R7" s="17"/>
    </row>
    <row r="8" customFormat="false" ht="42" hidden="false" customHeight="true" outlineLevel="0" collapsed="false">
      <c r="A8" s="17" t="n">
        <v>4</v>
      </c>
      <c r="B8" s="17" t="s">
        <v>103</v>
      </c>
      <c r="C8" s="18" t="s">
        <v>104</v>
      </c>
      <c r="D8" s="18" t="s">
        <v>86</v>
      </c>
      <c r="E8" s="17" t="s">
        <v>105</v>
      </c>
      <c r="F8" s="17" t="s">
        <v>106</v>
      </c>
      <c r="G8" s="17" t="s">
        <v>107</v>
      </c>
      <c r="H8" s="19" t="n">
        <v>99</v>
      </c>
      <c r="I8" s="17" t="s">
        <v>46</v>
      </c>
      <c r="J8" s="20" t="n">
        <f aca="false">IF(H8="","",H8*INDEX(FX!$B$5:$B$11,MATCH(I8,FX!$A$5:$A$11,0)))</f>
        <v>23.265</v>
      </c>
      <c r="K8" s="17" t="s">
        <v>108</v>
      </c>
      <c r="L8" s="21" t="n">
        <v>45911</v>
      </c>
      <c r="M8" s="22" t="n">
        <f aca="false">IF(L8="","",'Read me'!$B$3-L8)</f>
        <v>389</v>
      </c>
      <c r="N8" s="23" t="n">
        <v>1190</v>
      </c>
      <c r="O8" s="23" t="n">
        <v>48</v>
      </c>
      <c r="P8" s="21" t="n">
        <v>46191</v>
      </c>
      <c r="Q8" s="22" t="n">
        <f aca="false">IF(P8="","",'Read me'!$B$3-P8)</f>
        <v>109</v>
      </c>
      <c r="R8" s="17" t="s">
        <v>109</v>
      </c>
    </row>
    <row r="9" customFormat="false" ht="42" hidden="false" customHeight="true" outlineLevel="0" collapsed="false">
      <c r="A9" s="17" t="n">
        <v>5</v>
      </c>
      <c r="B9" s="17" t="s">
        <v>110</v>
      </c>
      <c r="C9" s="18" t="s">
        <v>111</v>
      </c>
      <c r="D9" s="18" t="s">
        <v>86</v>
      </c>
      <c r="E9" s="17" t="s">
        <v>112</v>
      </c>
      <c r="F9" s="17" t="s">
        <v>113</v>
      </c>
      <c r="G9" s="17" t="s">
        <v>114</v>
      </c>
      <c r="H9" s="19" t="n">
        <v>47.49</v>
      </c>
      <c r="I9" s="17" t="s">
        <v>46</v>
      </c>
      <c r="J9" s="20" t="n">
        <f aca="false">IF(H9="","",H9*INDEX(FX!$B$5:$B$11,MATCH(I9,FX!$A$5:$A$11,0)))</f>
        <v>11.16015</v>
      </c>
      <c r="K9" s="17" t="s">
        <v>115</v>
      </c>
      <c r="L9" s="21" t="n">
        <v>45872</v>
      </c>
      <c r="M9" s="22" t="n">
        <f aca="false">IF(L9="","",'Read me'!$B$3-L9)</f>
        <v>428</v>
      </c>
      <c r="N9" s="23" t="n">
        <v>1000</v>
      </c>
      <c r="O9" s="23" t="n">
        <v>138</v>
      </c>
      <c r="P9" s="21" t="n">
        <v>45993</v>
      </c>
      <c r="Q9" s="22" t="n">
        <f aca="false">IF(P9="","",'Read me'!$B$3-P9)</f>
        <v>307</v>
      </c>
      <c r="R9" s="17" t="s">
        <v>116</v>
      </c>
    </row>
    <row r="10" customFormat="false" ht="28.5" hidden="false" customHeight="true" outlineLevel="0" collapsed="false">
      <c r="A10" s="17" t="n">
        <v>6</v>
      </c>
      <c r="B10" s="17" t="s">
        <v>117</v>
      </c>
      <c r="C10" s="18" t="s">
        <v>118</v>
      </c>
      <c r="D10" s="18" t="s">
        <v>86</v>
      </c>
      <c r="E10" s="17" t="s">
        <v>119</v>
      </c>
      <c r="F10" s="17" t="s">
        <v>120</v>
      </c>
      <c r="G10" s="17" t="s">
        <v>121</v>
      </c>
      <c r="H10" s="19" t="n">
        <v>119.99</v>
      </c>
      <c r="I10" s="17" t="s">
        <v>46</v>
      </c>
      <c r="J10" s="20" t="n">
        <f aca="false">IF(H10="","",H10*INDEX(FX!$B$5:$B$11,MATCH(I10,FX!$A$5:$A$11,0)))</f>
        <v>28.19765</v>
      </c>
      <c r="K10" s="17" t="s">
        <v>122</v>
      </c>
      <c r="L10" s="21" t="n">
        <v>45974</v>
      </c>
      <c r="M10" s="22" t="n">
        <f aca="false">IF(L10="","",'Read me'!$B$3-L10)</f>
        <v>326</v>
      </c>
      <c r="N10" s="23" t="n">
        <v>704</v>
      </c>
      <c r="O10" s="23" t="n">
        <v>130</v>
      </c>
      <c r="P10" s="21" t="n">
        <v>46041</v>
      </c>
      <c r="Q10" s="22" t="n">
        <f aca="false">IF(P10="","",'Read me'!$B$3-P10)</f>
        <v>259</v>
      </c>
      <c r="R10" s="17"/>
    </row>
    <row r="11" customFormat="false" ht="28.5" hidden="false" customHeight="true" outlineLevel="0" collapsed="false">
      <c r="A11" s="17" t="n">
        <v>7</v>
      </c>
      <c r="B11" s="17" t="s">
        <v>123</v>
      </c>
      <c r="C11" s="18" t="s">
        <v>124</v>
      </c>
      <c r="D11" s="18" t="s">
        <v>86</v>
      </c>
      <c r="E11" s="17" t="s">
        <v>125</v>
      </c>
      <c r="F11" s="17" t="s">
        <v>126</v>
      </c>
      <c r="G11" s="17" t="s">
        <v>127</v>
      </c>
      <c r="H11" s="19" t="n">
        <v>24.99</v>
      </c>
      <c r="I11" s="17" t="s">
        <v>46</v>
      </c>
      <c r="J11" s="20" t="n">
        <f aca="false">IF(H11="","",H11*INDEX(FX!$B$5:$B$11,MATCH(I11,FX!$A$5:$A$11,0)))</f>
        <v>5.87265</v>
      </c>
      <c r="K11" s="17" t="s">
        <v>128</v>
      </c>
      <c r="L11" s="21" t="n">
        <v>45494</v>
      </c>
      <c r="M11" s="22" t="n">
        <f aca="false">IF(L11="","",'Read me'!$B$3-L11)</f>
        <v>806</v>
      </c>
      <c r="N11" s="23" t="n">
        <v>549</v>
      </c>
      <c r="O11" s="23" t="n">
        <v>157</v>
      </c>
      <c r="P11" s="21" t="n">
        <v>45494</v>
      </c>
      <c r="Q11" s="22" t="n">
        <f aca="false">IF(P11="","",'Read me'!$B$3-P11)</f>
        <v>806</v>
      </c>
      <c r="R11" s="17"/>
    </row>
    <row r="12" customFormat="false" ht="42" hidden="false" customHeight="true" outlineLevel="0" collapsed="false">
      <c r="A12" s="17" t="n">
        <v>8</v>
      </c>
      <c r="B12" s="17" t="s">
        <v>129</v>
      </c>
      <c r="C12" s="18" t="s">
        <v>130</v>
      </c>
      <c r="D12" s="18" t="s">
        <v>86</v>
      </c>
      <c r="E12" s="17" t="s">
        <v>131</v>
      </c>
      <c r="F12" s="17" t="s">
        <v>132</v>
      </c>
      <c r="G12" s="17" t="s">
        <v>133</v>
      </c>
      <c r="H12" s="19"/>
      <c r="I12" s="17" t="s">
        <v>46</v>
      </c>
      <c r="J12" s="20" t="str">
        <f aca="false">IF(H12="","",H12*INDEX(FX!$B$5:$B$11,MATCH(I12,FX!$A$5:$A$11,0)))</f>
        <v/>
      </c>
      <c r="K12" s="17" t="s">
        <v>134</v>
      </c>
      <c r="L12" s="21" t="n">
        <v>45912</v>
      </c>
      <c r="M12" s="22" t="n">
        <f aca="false">IF(L12="","",'Read me'!$B$3-L12)</f>
        <v>388</v>
      </c>
      <c r="N12" s="23" t="n">
        <v>221</v>
      </c>
      <c r="O12" s="23" t="n">
        <v>41</v>
      </c>
      <c r="P12" s="21" t="n">
        <v>45922</v>
      </c>
      <c r="Q12" s="22" t="n">
        <f aca="false">IF(P12="","",'Read me'!$B$3-P12)</f>
        <v>378</v>
      </c>
      <c r="R12" s="17" t="s">
        <v>135</v>
      </c>
    </row>
    <row r="13" customFormat="false" ht="42" hidden="false" customHeight="true" outlineLevel="0" collapsed="false">
      <c r="A13" s="17" t="n">
        <v>9</v>
      </c>
      <c r="B13" s="17" t="s">
        <v>136</v>
      </c>
      <c r="C13" s="18" t="s">
        <v>137</v>
      </c>
      <c r="D13" s="18" t="s">
        <v>86</v>
      </c>
      <c r="E13" s="17" t="s">
        <v>138</v>
      </c>
      <c r="F13" s="17" t="s">
        <v>132</v>
      </c>
      <c r="G13" s="17" t="s">
        <v>139</v>
      </c>
      <c r="H13" s="19" t="n">
        <v>39</v>
      </c>
      <c r="I13" s="17" t="s">
        <v>46</v>
      </c>
      <c r="J13" s="20" t="n">
        <f aca="false">IF(H13="","",H13*INDEX(FX!$B$5:$B$11,MATCH(I13,FX!$A$5:$A$11,0)))</f>
        <v>9.165</v>
      </c>
      <c r="K13" s="17" t="s">
        <v>140</v>
      </c>
      <c r="L13" s="21" t="n">
        <v>45803</v>
      </c>
      <c r="M13" s="22" t="n">
        <f aca="false">IF(L13="","",'Read me'!$B$3-L13)</f>
        <v>497</v>
      </c>
      <c r="N13" s="23" t="n">
        <v>67</v>
      </c>
      <c r="O13" s="23" t="n">
        <v>4</v>
      </c>
      <c r="P13" s="21" t="n">
        <v>46098</v>
      </c>
      <c r="Q13" s="22" t="n">
        <f aca="false">IF(P13="","",'Read me'!$B$3-P13)</f>
        <v>202</v>
      </c>
      <c r="R13" s="17"/>
    </row>
    <row r="14" customFormat="false" ht="28.5" hidden="false" customHeight="true" outlineLevel="0" collapsed="false">
      <c r="A14" s="17" t="n">
        <v>10</v>
      </c>
      <c r="B14" s="17" t="s">
        <v>141</v>
      </c>
      <c r="C14" s="18" t="s">
        <v>142</v>
      </c>
      <c r="D14" s="18" t="s">
        <v>86</v>
      </c>
      <c r="E14" s="17" t="s">
        <v>143</v>
      </c>
      <c r="F14" s="17" t="s">
        <v>126</v>
      </c>
      <c r="G14" s="17" t="s">
        <v>144</v>
      </c>
      <c r="H14" s="19" t="n">
        <v>36.97</v>
      </c>
      <c r="I14" s="17" t="s">
        <v>46</v>
      </c>
      <c r="J14" s="20" t="n">
        <f aca="false">IF(H14="","",H14*INDEX(FX!$B$5:$B$11,MATCH(I14,FX!$A$5:$A$11,0)))</f>
        <v>8.68795</v>
      </c>
      <c r="K14" s="17" t="s">
        <v>145</v>
      </c>
      <c r="L14" s="21" t="n">
        <v>45870</v>
      </c>
      <c r="M14" s="22" t="n">
        <f aca="false">IF(L14="","",'Read me'!$B$3-L14)</f>
        <v>430</v>
      </c>
      <c r="N14" s="23" t="n">
        <v>19</v>
      </c>
      <c r="O14" s="23" t="n">
        <v>5</v>
      </c>
      <c r="P14" s="21" t="n">
        <v>46240</v>
      </c>
      <c r="Q14" s="22" t="n">
        <f aca="false">IF(P14="","",'Read me'!$B$3-P14)</f>
        <v>60</v>
      </c>
      <c r="R14" s="17"/>
    </row>
    <row r="15" customFormat="false" ht="42" hidden="false" customHeight="true" outlineLevel="0" collapsed="false">
      <c r="A15" s="17" t="n">
        <v>11</v>
      </c>
      <c r="B15" s="17" t="s">
        <v>146</v>
      </c>
      <c r="C15" s="18" t="s">
        <v>147</v>
      </c>
      <c r="D15" s="18" t="s">
        <v>86</v>
      </c>
      <c r="E15" s="17" t="s">
        <v>148</v>
      </c>
      <c r="F15" s="17" t="s">
        <v>149</v>
      </c>
      <c r="G15" s="17"/>
      <c r="H15" s="19"/>
      <c r="I15" s="17" t="s">
        <v>46</v>
      </c>
      <c r="J15" s="20" t="str">
        <f aca="false">IF(H15="","",H15*INDEX(FX!$B$5:$B$11,MATCH(I15,FX!$A$5:$A$11,0)))</f>
        <v/>
      </c>
      <c r="K15" s="17" t="s">
        <v>150</v>
      </c>
      <c r="L15" s="21" t="n">
        <v>46285</v>
      </c>
      <c r="M15" s="22" t="n">
        <f aca="false">IF(L15="","",'Read me'!$B$3-L15)</f>
        <v>15</v>
      </c>
      <c r="N15" s="23" t="n">
        <v>18</v>
      </c>
      <c r="O15" s="23" t="n">
        <v>2</v>
      </c>
      <c r="P15" s="21" t="n">
        <v>46295</v>
      </c>
      <c r="Q15" s="22" t="n">
        <f aca="false">IF(P15="","",'Read me'!$B$3-P15)</f>
        <v>5</v>
      </c>
      <c r="R15" s="17" t="s">
        <v>151</v>
      </c>
    </row>
    <row r="16" customFormat="false" ht="42" hidden="false" customHeight="true" outlineLevel="0" collapsed="false">
      <c r="A16" s="17" t="n">
        <v>12</v>
      </c>
      <c r="B16" s="17" t="s">
        <v>152</v>
      </c>
      <c r="C16" s="18" t="s">
        <v>153</v>
      </c>
      <c r="D16" s="18" t="s">
        <v>86</v>
      </c>
      <c r="E16" s="17" t="s">
        <v>154</v>
      </c>
      <c r="F16" s="17" t="s">
        <v>120</v>
      </c>
      <c r="G16" s="17" t="s">
        <v>155</v>
      </c>
      <c r="H16" s="19" t="n">
        <v>19.99</v>
      </c>
      <c r="I16" s="17" t="s">
        <v>46</v>
      </c>
      <c r="J16" s="20" t="n">
        <f aca="false">IF(H16="","",H16*INDEX(FX!$B$5:$B$11,MATCH(I16,FX!$A$5:$A$11,0)))</f>
        <v>4.69765</v>
      </c>
      <c r="K16" s="17" t="s">
        <v>156</v>
      </c>
      <c r="L16" s="21" t="n">
        <v>44736</v>
      </c>
      <c r="M16" s="22" t="n">
        <f aca="false">IF(L16="","",'Read me'!$B$3-L16)</f>
        <v>1564</v>
      </c>
      <c r="N16" s="23" t="n">
        <v>8</v>
      </c>
      <c r="O16" s="23" t="n">
        <v>7</v>
      </c>
      <c r="P16" s="21" t="n">
        <v>44736</v>
      </c>
      <c r="Q16" s="22" t="n">
        <f aca="false">IF(P16="","",'Read me'!$B$3-P16)</f>
        <v>1564</v>
      </c>
      <c r="R16" s="17"/>
    </row>
  </sheetData>
  <hyperlinks>
    <hyperlink ref="C5" r:id="rId1" display="https://noyopharm.com"/>
    <hyperlink ref="D5" r:id="rId2" display="Open Ad Library"/>
    <hyperlink ref="C6" r:id="rId3" display="https://nutridome.pl"/>
    <hyperlink ref="D6" r:id="rId4" display="Open Ad Library"/>
    <hyperlink ref="C7" r:id="rId5" display="https://labify.pl"/>
    <hyperlink ref="D7" r:id="rId6" display="Open Ad Library"/>
    <hyperlink ref="C8" r:id="rId7" display="https://sundose.com"/>
    <hyperlink ref="D8" r:id="rId8" display="Open Ad Library"/>
    <hyperlink ref="C9" r:id="rId9" display="https://noblehealth.pl"/>
    <hyperlink ref="D9" r:id="rId10" display="Open Ad Library"/>
    <hyperlink ref="C10" r:id="rId11" display="https://fezi.pl"/>
    <hyperlink ref="D10" r:id="rId12" display="Open Ad Library"/>
    <hyperlink ref="C11" r:id="rId13" display="https://ostrovit.com"/>
    <hyperlink ref="D11" r:id="rId14" display="Open Ad Library"/>
    <hyperlink ref="C12" r:id="rId15" display="https://mynarum.com"/>
    <hyperlink ref="D12" r:id="rId16" display="Open Ad Library"/>
    <hyperlink ref="C13" r:id="rId17" display="https://realpharm.eu"/>
    <hyperlink ref="D13" r:id="rId18" display="Open Ad Library"/>
    <hyperlink ref="C14" r:id="rId19" display="https://pandacare.pl"/>
    <hyperlink ref="D14" r:id="rId20" display="Open Ad Library"/>
    <hyperlink ref="C15" r:id="rId21" display="https://trichonex.doctorzakaria.com/l"/>
    <hyperlink ref="D15" r:id="rId22" display="Open Ad Library"/>
    <hyperlink ref="C16" r:id="rId23" display="https://hellogummies.pl"/>
    <hyperlink ref="D16" r:id="rId24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157</v>
      </c>
    </row>
    <row r="2" customFormat="false" ht="15" hidden="false" customHeight="false" outlineLevel="0" collapsed="false">
      <c r="A2" s="16" t="s">
        <v>158</v>
      </c>
    </row>
    <row r="4" customFormat="false" ht="42" hidden="false" customHeight="true" outlineLevel="0" collapsed="false">
      <c r="A4" s="11" t="s">
        <v>72</v>
      </c>
      <c r="B4" s="11" t="s">
        <v>73</v>
      </c>
      <c r="C4" s="11" t="s">
        <v>5</v>
      </c>
      <c r="D4" s="11" t="s">
        <v>7</v>
      </c>
      <c r="E4" s="11" t="s">
        <v>74</v>
      </c>
      <c r="F4" s="11" t="s">
        <v>75</v>
      </c>
      <c r="G4" s="11" t="s">
        <v>76</v>
      </c>
      <c r="H4" s="11" t="s">
        <v>77</v>
      </c>
      <c r="I4" s="11" t="s">
        <v>43</v>
      </c>
      <c r="J4" s="11" t="s">
        <v>78</v>
      </c>
      <c r="K4" s="11" t="s">
        <v>11</v>
      </c>
      <c r="L4" s="11" t="s">
        <v>79</v>
      </c>
      <c r="M4" s="11" t="s">
        <v>80</v>
      </c>
      <c r="N4" s="11" t="s">
        <v>81</v>
      </c>
      <c r="O4" s="11" t="s">
        <v>17</v>
      </c>
      <c r="P4" s="11" t="s">
        <v>19</v>
      </c>
      <c r="Q4" s="11" t="s">
        <v>82</v>
      </c>
      <c r="R4" s="11" t="s">
        <v>83</v>
      </c>
    </row>
    <row r="5" customFormat="false" ht="42" hidden="false" customHeight="true" outlineLevel="0" collapsed="false">
      <c r="A5" s="17" t="n">
        <v>1</v>
      </c>
      <c r="B5" s="17" t="s">
        <v>159</v>
      </c>
      <c r="C5" s="18" t="s">
        <v>160</v>
      </c>
      <c r="D5" s="18" t="s">
        <v>86</v>
      </c>
      <c r="E5" s="17" t="s">
        <v>161</v>
      </c>
      <c r="F5" s="17" t="s">
        <v>162</v>
      </c>
      <c r="G5" s="17" t="s">
        <v>163</v>
      </c>
      <c r="H5" s="19" t="n">
        <v>17.99</v>
      </c>
      <c r="I5" s="17" t="s">
        <v>45</v>
      </c>
      <c r="J5" s="20" t="n">
        <f aca="false">IF(H5="","",H5*INDEX(FX!$B$5:$B$11,MATCH(I5,FX!$A$5:$A$11,0)))</f>
        <v>17.99</v>
      </c>
      <c r="K5" s="17" t="s">
        <v>164</v>
      </c>
      <c r="L5" s="21" t="n">
        <v>45547</v>
      </c>
      <c r="M5" s="22" t="n">
        <f aca="false">IF(L5="","",'Read me'!$B$3-L5)</f>
        <v>753</v>
      </c>
      <c r="N5" s="23" t="n">
        <v>2922</v>
      </c>
      <c r="O5" s="23" t="n">
        <v>82</v>
      </c>
      <c r="P5" s="21" t="n">
        <v>46136</v>
      </c>
      <c r="Q5" s="22" t="n">
        <f aca="false">IF(P5="","",'Read me'!$B$3-P5)</f>
        <v>164</v>
      </c>
      <c r="R5" s="17"/>
    </row>
    <row r="6" customFormat="false" ht="42" hidden="false" customHeight="true" outlineLevel="0" collapsed="false">
      <c r="A6" s="17" t="n">
        <v>2</v>
      </c>
      <c r="B6" s="17" t="s">
        <v>165</v>
      </c>
      <c r="C6" s="18" t="s">
        <v>166</v>
      </c>
      <c r="D6" s="18" t="s">
        <v>86</v>
      </c>
      <c r="E6" s="17" t="s">
        <v>167</v>
      </c>
      <c r="F6" s="17" t="s">
        <v>168</v>
      </c>
      <c r="G6" s="17" t="s">
        <v>169</v>
      </c>
      <c r="H6" s="19" t="n">
        <v>7.5</v>
      </c>
      <c r="I6" s="17" t="s">
        <v>45</v>
      </c>
      <c r="J6" s="20" t="n">
        <f aca="false">IF(H6="","",H6*INDEX(FX!$B$5:$B$11,MATCH(I6,FX!$A$5:$A$11,0)))</f>
        <v>7.5</v>
      </c>
      <c r="K6" s="17" t="s">
        <v>170</v>
      </c>
      <c r="L6" s="21" t="n">
        <v>44441</v>
      </c>
      <c r="M6" s="22" t="n">
        <f aca="false">IF(L6="","",'Read me'!$B$3-L6)</f>
        <v>1859</v>
      </c>
      <c r="N6" s="23" t="n">
        <v>2431</v>
      </c>
      <c r="O6" s="23" t="n">
        <v>235</v>
      </c>
      <c r="P6" s="21" t="n">
        <v>45890</v>
      </c>
      <c r="Q6" s="22" t="n">
        <f aca="false">IF(P6="","",'Read me'!$B$3-P6)</f>
        <v>410</v>
      </c>
      <c r="R6" s="17"/>
    </row>
    <row r="7" customFormat="false" ht="67.5" hidden="false" customHeight="true" outlineLevel="0" collapsed="false">
      <c r="A7" s="17" t="n">
        <v>3</v>
      </c>
      <c r="B7" s="17" t="s">
        <v>171</v>
      </c>
      <c r="C7" s="18" t="s">
        <v>172</v>
      </c>
      <c r="D7" s="18" t="s">
        <v>86</v>
      </c>
      <c r="E7" s="17" t="s">
        <v>173</v>
      </c>
      <c r="F7" s="17" t="s">
        <v>120</v>
      </c>
      <c r="G7" s="17" t="s">
        <v>174</v>
      </c>
      <c r="H7" s="19"/>
      <c r="I7" s="17" t="s">
        <v>45</v>
      </c>
      <c r="J7" s="20" t="str">
        <f aca="false">IF(H7="","",H7*INDEX(FX!$B$5:$B$11,MATCH(I7,FX!$A$5:$A$11,0)))</f>
        <v/>
      </c>
      <c r="K7" s="17" t="s">
        <v>175</v>
      </c>
      <c r="L7" s="21" t="n">
        <v>46108</v>
      </c>
      <c r="M7" s="22" t="n">
        <f aca="false">IF(L7="","",'Read me'!$B$3-L7)</f>
        <v>192</v>
      </c>
      <c r="N7" s="23" t="n">
        <v>1866</v>
      </c>
      <c r="O7" s="23" t="n">
        <v>430</v>
      </c>
      <c r="P7" s="21" t="n">
        <v>46108</v>
      </c>
      <c r="Q7" s="22" t="n">
        <f aca="false">IF(P7="","",'Read me'!$B$3-P7)</f>
        <v>192</v>
      </c>
      <c r="R7" s="17" t="s">
        <v>176</v>
      </c>
    </row>
    <row r="8" customFormat="false" ht="28.5" hidden="false" customHeight="true" outlineLevel="0" collapsed="false">
      <c r="A8" s="17" t="n">
        <v>4</v>
      </c>
      <c r="B8" s="17" t="s">
        <v>177</v>
      </c>
      <c r="C8" s="18" t="s">
        <v>178</v>
      </c>
      <c r="D8" s="18" t="s">
        <v>86</v>
      </c>
      <c r="E8" s="17" t="s">
        <v>179</v>
      </c>
      <c r="F8" s="17" t="s">
        <v>180</v>
      </c>
      <c r="G8" s="17" t="s">
        <v>181</v>
      </c>
      <c r="H8" s="19" t="n">
        <v>24.97</v>
      </c>
      <c r="I8" s="17" t="s">
        <v>45</v>
      </c>
      <c r="J8" s="20" t="n">
        <f aca="false">IF(H8="","",H8*INDEX(FX!$B$5:$B$11,MATCH(I8,FX!$A$5:$A$11,0)))</f>
        <v>24.97</v>
      </c>
      <c r="K8" s="17" t="s">
        <v>182</v>
      </c>
      <c r="L8" s="21" t="n">
        <v>46108</v>
      </c>
      <c r="M8" s="22" t="n">
        <f aca="false">IF(L8="","",'Read me'!$B$3-L8)</f>
        <v>192</v>
      </c>
      <c r="N8" s="23" t="n">
        <v>590</v>
      </c>
      <c r="O8" s="23" t="n">
        <v>77</v>
      </c>
      <c r="P8" s="21" t="n">
        <v>46286</v>
      </c>
      <c r="Q8" s="22" t="n">
        <f aca="false">IF(P8="","",'Read me'!$B$3-P8)</f>
        <v>14</v>
      </c>
      <c r="R8" s="17"/>
    </row>
    <row r="9" customFormat="false" ht="28.5" hidden="false" customHeight="true" outlineLevel="0" collapsed="false">
      <c r="A9" s="17" t="n">
        <v>5</v>
      </c>
      <c r="B9" s="17" t="s">
        <v>183</v>
      </c>
      <c r="C9" s="18" t="s">
        <v>184</v>
      </c>
      <c r="D9" s="18" t="s">
        <v>86</v>
      </c>
      <c r="E9" s="17" t="s">
        <v>185</v>
      </c>
      <c r="F9" s="17" t="s">
        <v>120</v>
      </c>
      <c r="G9" s="17" t="s">
        <v>186</v>
      </c>
      <c r="H9" s="19" t="n">
        <v>25.52</v>
      </c>
      <c r="I9" s="17" t="s">
        <v>45</v>
      </c>
      <c r="J9" s="20" t="n">
        <f aca="false">IF(H9="","",H9*INDEX(FX!$B$5:$B$11,MATCH(I9,FX!$A$5:$A$11,0)))</f>
        <v>25.52</v>
      </c>
      <c r="K9" s="17" t="s">
        <v>187</v>
      </c>
      <c r="L9" s="21" t="n">
        <v>45688</v>
      </c>
      <c r="M9" s="22" t="n">
        <f aca="false">IF(L9="","",'Read me'!$B$3-L9)</f>
        <v>612</v>
      </c>
      <c r="N9" s="23" t="n">
        <v>380</v>
      </c>
      <c r="O9" s="23" t="n">
        <v>63</v>
      </c>
      <c r="P9" s="21" t="n">
        <v>45885</v>
      </c>
      <c r="Q9" s="22" t="n">
        <f aca="false">IF(P9="","",'Read me'!$B$3-P9)</f>
        <v>415</v>
      </c>
      <c r="R9" s="17"/>
    </row>
    <row r="10" customFormat="false" ht="28.5" hidden="false" customHeight="true" outlineLevel="0" collapsed="false">
      <c r="A10" s="17" t="n">
        <v>6</v>
      </c>
      <c r="B10" s="17" t="s">
        <v>188</v>
      </c>
      <c r="C10" s="18" t="s">
        <v>189</v>
      </c>
      <c r="D10" s="18" t="s">
        <v>86</v>
      </c>
      <c r="E10" s="17" t="s">
        <v>190</v>
      </c>
      <c r="F10" s="17" t="s">
        <v>191</v>
      </c>
      <c r="G10" s="17" t="s">
        <v>192</v>
      </c>
      <c r="H10" s="19" t="n">
        <v>11.89</v>
      </c>
      <c r="I10" s="17" t="s">
        <v>45</v>
      </c>
      <c r="J10" s="20" t="n">
        <f aca="false">IF(H10="","",H10*INDEX(FX!$B$5:$B$11,MATCH(I10,FX!$A$5:$A$11,0)))</f>
        <v>11.89</v>
      </c>
      <c r="K10" s="17" t="s">
        <v>193</v>
      </c>
      <c r="L10" s="21" t="n">
        <v>44673</v>
      </c>
      <c r="M10" s="22" t="n">
        <f aca="false">IF(L10="","",'Read me'!$B$3-L10)</f>
        <v>1627</v>
      </c>
      <c r="N10" s="23" t="n">
        <v>159</v>
      </c>
      <c r="O10" s="23" t="n">
        <v>8</v>
      </c>
      <c r="P10" s="21" t="n">
        <v>45875</v>
      </c>
      <c r="Q10" s="22" t="n">
        <f aca="false">IF(P10="","",'Read me'!$B$3-P10)</f>
        <v>425</v>
      </c>
      <c r="R10" s="17"/>
    </row>
    <row r="11" customFormat="false" ht="28.5" hidden="false" customHeight="true" outlineLevel="0" collapsed="false">
      <c r="A11" s="17" t="n">
        <v>7</v>
      </c>
      <c r="B11" s="17" t="s">
        <v>194</v>
      </c>
      <c r="C11" s="18" t="s">
        <v>195</v>
      </c>
      <c r="D11" s="18" t="s">
        <v>86</v>
      </c>
      <c r="E11" s="17" t="s">
        <v>196</v>
      </c>
      <c r="F11" s="17" t="s">
        <v>120</v>
      </c>
      <c r="G11" s="17" t="s">
        <v>197</v>
      </c>
      <c r="H11" s="19" t="n">
        <v>22</v>
      </c>
      <c r="I11" s="17" t="s">
        <v>45</v>
      </c>
      <c r="J11" s="20" t="n">
        <f aca="false">IF(H11="","",H11*INDEX(FX!$B$5:$B$11,MATCH(I11,FX!$A$5:$A$11,0)))</f>
        <v>22</v>
      </c>
      <c r="K11" s="17" t="s">
        <v>198</v>
      </c>
      <c r="L11" s="21" t="n">
        <v>45229</v>
      </c>
      <c r="M11" s="22" t="n">
        <f aca="false">IF(L11="","",'Read me'!$B$3-L11)</f>
        <v>1071</v>
      </c>
      <c r="N11" s="23" t="n">
        <v>95</v>
      </c>
      <c r="O11" s="23" t="n">
        <v>24</v>
      </c>
      <c r="P11" s="21" t="n">
        <v>46238</v>
      </c>
      <c r="Q11" s="22" t="n">
        <f aca="false">IF(P11="","",'Read me'!$B$3-P11)</f>
        <v>62</v>
      </c>
      <c r="R11" s="17"/>
    </row>
    <row r="12" customFormat="false" ht="42" hidden="false" customHeight="true" outlineLevel="0" collapsed="false">
      <c r="A12" s="17" t="n">
        <v>8</v>
      </c>
      <c r="B12" s="17" t="s">
        <v>199</v>
      </c>
      <c r="C12" s="18" t="s">
        <v>200</v>
      </c>
      <c r="D12" s="18" t="s">
        <v>86</v>
      </c>
      <c r="E12" s="17" t="s">
        <v>201</v>
      </c>
      <c r="F12" s="17" t="s">
        <v>202</v>
      </c>
      <c r="G12" s="17" t="s">
        <v>203</v>
      </c>
      <c r="H12" s="19" t="n">
        <v>19.89</v>
      </c>
      <c r="I12" s="17" t="s">
        <v>45</v>
      </c>
      <c r="J12" s="20" t="n">
        <f aca="false">IF(H12="","",H12*INDEX(FX!$B$5:$B$11,MATCH(I12,FX!$A$5:$A$11,0)))</f>
        <v>19.89</v>
      </c>
      <c r="K12" s="17" t="s">
        <v>204</v>
      </c>
      <c r="L12" s="21" t="n">
        <v>45916</v>
      </c>
      <c r="M12" s="22" t="n">
        <f aca="false">IF(L12="","",'Read me'!$B$3-L12)</f>
        <v>384</v>
      </c>
      <c r="N12" s="23" t="n">
        <v>89</v>
      </c>
      <c r="O12" s="23" t="n">
        <v>0</v>
      </c>
      <c r="P12" s="21"/>
      <c r="Q12" s="22" t="str">
        <f aca="false">IF(P12="","",'Read me'!$B$3-P12)</f>
        <v/>
      </c>
      <c r="R12" s="17" t="s">
        <v>205</v>
      </c>
    </row>
    <row r="13" customFormat="false" ht="28.5" hidden="false" customHeight="true" outlineLevel="0" collapsed="false">
      <c r="A13" s="17" t="n">
        <v>9</v>
      </c>
      <c r="B13" s="17" t="s">
        <v>206</v>
      </c>
      <c r="C13" s="18" t="s">
        <v>207</v>
      </c>
      <c r="D13" s="18" t="s">
        <v>86</v>
      </c>
      <c r="E13" s="17" t="s">
        <v>208</v>
      </c>
      <c r="F13" s="17" t="s">
        <v>120</v>
      </c>
      <c r="G13" s="17" t="s">
        <v>209</v>
      </c>
      <c r="H13" s="19" t="n">
        <v>25.99</v>
      </c>
      <c r="I13" s="17" t="s">
        <v>45</v>
      </c>
      <c r="J13" s="20" t="n">
        <f aca="false">IF(H13="","",H13*INDEX(FX!$B$5:$B$11,MATCH(I13,FX!$A$5:$A$11,0)))</f>
        <v>25.99</v>
      </c>
      <c r="K13" s="17" t="s">
        <v>210</v>
      </c>
      <c r="L13" s="21" t="n">
        <v>46051</v>
      </c>
      <c r="M13" s="22" t="n">
        <f aca="false">IF(L13="","",'Read me'!$B$3-L13)</f>
        <v>249</v>
      </c>
      <c r="N13" s="23" t="n">
        <v>69</v>
      </c>
      <c r="O13" s="23" t="n">
        <v>16</v>
      </c>
      <c r="P13" s="21" t="n">
        <v>46245</v>
      </c>
      <c r="Q13" s="22" t="n">
        <f aca="false">IF(P13="","",'Read me'!$B$3-P13)</f>
        <v>55</v>
      </c>
      <c r="R13" s="17"/>
    </row>
    <row r="14" customFormat="false" ht="28.5" hidden="false" customHeight="true" outlineLevel="0" collapsed="false">
      <c r="A14" s="17" t="n">
        <v>10</v>
      </c>
      <c r="B14" s="17" t="s">
        <v>211</v>
      </c>
      <c r="C14" s="18" t="s">
        <v>212</v>
      </c>
      <c r="D14" s="18" t="s">
        <v>86</v>
      </c>
      <c r="E14" s="17" t="s">
        <v>213</v>
      </c>
      <c r="F14" s="17" t="s">
        <v>191</v>
      </c>
      <c r="G14" s="17" t="s">
        <v>214</v>
      </c>
      <c r="H14" s="19" t="n">
        <v>7.06</v>
      </c>
      <c r="I14" s="17" t="s">
        <v>45</v>
      </c>
      <c r="J14" s="20" t="n">
        <f aca="false">IF(H14="","",H14*INDEX(FX!$B$5:$B$11,MATCH(I14,FX!$A$5:$A$11,0)))</f>
        <v>7.06</v>
      </c>
      <c r="K14" s="17" t="s">
        <v>215</v>
      </c>
      <c r="L14" s="21" t="n">
        <v>45160</v>
      </c>
      <c r="M14" s="22" t="n">
        <f aca="false">IF(L14="","",'Read me'!$B$3-L14)</f>
        <v>1140</v>
      </c>
      <c r="N14" s="23" t="n">
        <v>15</v>
      </c>
      <c r="O14" s="23" t="n">
        <v>2</v>
      </c>
      <c r="P14" s="21" t="n">
        <v>46175</v>
      </c>
      <c r="Q14" s="22" t="n">
        <f aca="false">IF(P14="","",'Read me'!$B$3-P14)</f>
        <v>125</v>
      </c>
      <c r="R14" s="17"/>
    </row>
  </sheetData>
  <hyperlinks>
    <hyperlink ref="C5" r:id="rId1" display="https://www.futunatura.bg"/>
    <hyperlink ref="D5" r:id="rId2" display="Open Ad Library"/>
    <hyperlink ref="C6" r:id="rId3" display="https://gymbeam.bg"/>
    <hyperlink ref="D6" r:id="rId4" display="Open Ad Library"/>
    <hyperlink ref="C7" r:id="rId5" display="https://tryglowgummies.com"/>
    <hyperlink ref="D7" r:id="rId6" display="Open Ad Library"/>
    <hyperlink ref="C8" r:id="rId7" display="https://shilajit-prime.shop"/>
    <hyperlink ref="D8" r:id="rId8" display="Open Ad Library"/>
    <hyperlink ref="C9" r:id="rId9" display="https://vitaminsflow.com"/>
    <hyperlink ref="D9" r:id="rId10" display="Open Ad Library"/>
    <hyperlink ref="C10" r:id="rId11" display="https://naturesway.bg"/>
    <hyperlink ref="D10" r:id="rId12" display="Open Ad Library"/>
    <hyperlink ref="C11" r:id="rId13" display="https://vitalgummy.com"/>
    <hyperlink ref="D11" r:id="rId14" display="Open Ad Library"/>
    <hyperlink ref="C12" r:id="rId15" display="https://theceel.bg"/>
    <hyperlink ref="D12" r:id="rId16" display="Open Ad Library"/>
    <hyperlink ref="C13" r:id="rId17" display="https://leyra.bg"/>
    <hyperlink ref="D13" r:id="rId18" display="Open Ad Library"/>
    <hyperlink ref="C14" r:id="rId19" display="https://revita.bg"/>
    <hyperlink ref="D14" r:id="rId20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216</v>
      </c>
    </row>
    <row r="2" customFormat="false" ht="15" hidden="false" customHeight="false" outlineLevel="0" collapsed="false">
      <c r="A2" s="16" t="s">
        <v>217</v>
      </c>
    </row>
    <row r="4" customFormat="false" ht="42" hidden="false" customHeight="true" outlineLevel="0" collapsed="false">
      <c r="A4" s="11" t="s">
        <v>72</v>
      </c>
      <c r="B4" s="11" t="s">
        <v>73</v>
      </c>
      <c r="C4" s="11" t="s">
        <v>5</v>
      </c>
      <c r="D4" s="11" t="s">
        <v>7</v>
      </c>
      <c r="E4" s="11" t="s">
        <v>74</v>
      </c>
      <c r="F4" s="11" t="s">
        <v>75</v>
      </c>
      <c r="G4" s="11" t="s">
        <v>76</v>
      </c>
      <c r="H4" s="11" t="s">
        <v>77</v>
      </c>
      <c r="I4" s="11" t="s">
        <v>43</v>
      </c>
      <c r="J4" s="11" t="s">
        <v>78</v>
      </c>
      <c r="K4" s="11" t="s">
        <v>11</v>
      </c>
      <c r="L4" s="11" t="s">
        <v>79</v>
      </c>
      <c r="M4" s="11" t="s">
        <v>80</v>
      </c>
      <c r="N4" s="11" t="s">
        <v>81</v>
      </c>
      <c r="O4" s="11" t="s">
        <v>17</v>
      </c>
      <c r="P4" s="11" t="s">
        <v>19</v>
      </c>
      <c r="Q4" s="11" t="s">
        <v>82</v>
      </c>
      <c r="R4" s="11" t="s">
        <v>83</v>
      </c>
    </row>
    <row r="5" customFormat="false" ht="42" hidden="false" customHeight="true" outlineLevel="0" collapsed="false">
      <c r="A5" s="17" t="n">
        <v>1</v>
      </c>
      <c r="B5" s="17" t="s">
        <v>218</v>
      </c>
      <c r="C5" s="18" t="s">
        <v>219</v>
      </c>
      <c r="D5" s="18" t="s">
        <v>86</v>
      </c>
      <c r="E5" s="17" t="s">
        <v>220</v>
      </c>
      <c r="F5" s="17" t="s">
        <v>162</v>
      </c>
      <c r="G5" s="17" t="s">
        <v>221</v>
      </c>
      <c r="H5" s="19" t="n">
        <v>82.99</v>
      </c>
      <c r="I5" s="17" t="s">
        <v>47</v>
      </c>
      <c r="J5" s="20" t="n">
        <f aca="false">IF(H5="","",H5*INDEX(FX!$B$5:$B$11,MATCH(I5,FX!$A$5:$A$11,0)))</f>
        <v>16.34903</v>
      </c>
      <c r="K5" s="17" t="s">
        <v>222</v>
      </c>
      <c r="L5" s="21" t="n">
        <v>45588</v>
      </c>
      <c r="M5" s="22" t="n">
        <f aca="false">IF(L5="","",'Read me'!$B$3-L5)</f>
        <v>712</v>
      </c>
      <c r="N5" s="23" t="n">
        <v>3044</v>
      </c>
      <c r="O5" s="23" t="n">
        <v>53</v>
      </c>
      <c r="P5" s="21" t="n">
        <v>46135</v>
      </c>
      <c r="Q5" s="22" t="n">
        <f aca="false">IF(P5="","",'Read me'!$B$3-P5)</f>
        <v>165</v>
      </c>
      <c r="R5" s="17"/>
    </row>
    <row r="6" customFormat="false" ht="42" hidden="false" customHeight="true" outlineLevel="0" collapsed="false">
      <c r="A6" s="17" t="n">
        <v>2</v>
      </c>
      <c r="B6" s="17" t="s">
        <v>223</v>
      </c>
      <c r="C6" s="18" t="s">
        <v>224</v>
      </c>
      <c r="D6" s="18" t="s">
        <v>86</v>
      </c>
      <c r="E6" s="17" t="s">
        <v>225</v>
      </c>
      <c r="F6" s="17" t="s">
        <v>226</v>
      </c>
      <c r="G6" s="17" t="s">
        <v>227</v>
      </c>
      <c r="H6" s="19" t="n">
        <v>148</v>
      </c>
      <c r="I6" s="17" t="s">
        <v>47</v>
      </c>
      <c r="J6" s="20" t="n">
        <f aca="false">IF(H6="","",H6*INDEX(FX!$B$5:$B$11,MATCH(I6,FX!$A$5:$A$11,0)))</f>
        <v>29.156</v>
      </c>
      <c r="K6" s="17" t="s">
        <v>228</v>
      </c>
      <c r="L6" s="21" t="n">
        <v>45853</v>
      </c>
      <c r="M6" s="22" t="n">
        <f aca="false">IF(L6="","",'Read me'!$B$3-L6)</f>
        <v>447</v>
      </c>
      <c r="N6" s="23" t="n">
        <v>914</v>
      </c>
      <c r="O6" s="23" t="n">
        <v>56</v>
      </c>
      <c r="P6" s="21" t="n">
        <v>46251</v>
      </c>
      <c r="Q6" s="22" t="n">
        <f aca="false">IF(P6="","",'Read me'!$B$3-P6)</f>
        <v>49</v>
      </c>
      <c r="R6" s="17"/>
    </row>
    <row r="7" customFormat="false" ht="42" hidden="false" customHeight="true" outlineLevel="0" collapsed="false">
      <c r="A7" s="17" t="n">
        <v>3</v>
      </c>
      <c r="B7" s="17" t="s">
        <v>229</v>
      </c>
      <c r="C7" s="18" t="s">
        <v>230</v>
      </c>
      <c r="D7" s="18" t="s">
        <v>86</v>
      </c>
      <c r="E7" s="17" t="s">
        <v>231</v>
      </c>
      <c r="F7" s="17" t="s">
        <v>232</v>
      </c>
      <c r="G7" s="17" t="s">
        <v>233</v>
      </c>
      <c r="H7" s="19" t="n">
        <v>24.5</v>
      </c>
      <c r="I7" s="17" t="s">
        <v>47</v>
      </c>
      <c r="J7" s="20" t="n">
        <f aca="false">IF(H7="","",H7*INDEX(FX!$B$5:$B$11,MATCH(I7,FX!$A$5:$A$11,0)))</f>
        <v>4.8265</v>
      </c>
      <c r="K7" s="17" t="s">
        <v>234</v>
      </c>
      <c r="L7" s="21" t="n">
        <v>45820</v>
      </c>
      <c r="M7" s="22" t="n">
        <f aca="false">IF(L7="","",'Read me'!$B$3-L7)</f>
        <v>480</v>
      </c>
      <c r="N7" s="23" t="n">
        <v>717</v>
      </c>
      <c r="O7" s="23" t="n">
        <v>37</v>
      </c>
      <c r="P7" s="21" t="n">
        <v>46107</v>
      </c>
      <c r="Q7" s="22" t="n">
        <f aca="false">IF(P7="","",'Read me'!$B$3-P7)</f>
        <v>193</v>
      </c>
      <c r="R7" s="17"/>
    </row>
    <row r="8" customFormat="false" ht="42" hidden="false" customHeight="true" outlineLevel="0" collapsed="false">
      <c r="A8" s="17" t="n">
        <v>4</v>
      </c>
      <c r="B8" s="17" t="s">
        <v>235</v>
      </c>
      <c r="C8" s="18" t="s">
        <v>236</v>
      </c>
      <c r="D8" s="18" t="s">
        <v>86</v>
      </c>
      <c r="E8" s="17" t="s">
        <v>237</v>
      </c>
      <c r="F8" s="17" t="s">
        <v>238</v>
      </c>
      <c r="G8" s="17" t="s">
        <v>239</v>
      </c>
      <c r="H8" s="19" t="n">
        <v>109</v>
      </c>
      <c r="I8" s="17" t="s">
        <v>47</v>
      </c>
      <c r="J8" s="20" t="n">
        <f aca="false">IF(H8="","",H8*INDEX(FX!$B$5:$B$11,MATCH(I8,FX!$A$5:$A$11,0)))</f>
        <v>21.473</v>
      </c>
      <c r="K8" s="17" t="s">
        <v>240</v>
      </c>
      <c r="L8" s="21" t="n">
        <v>46142</v>
      </c>
      <c r="M8" s="22" t="n">
        <f aca="false">IF(L8="","",'Read me'!$B$3-L8)</f>
        <v>158</v>
      </c>
      <c r="N8" s="23" t="n">
        <v>372</v>
      </c>
      <c r="O8" s="23" t="n">
        <v>89</v>
      </c>
      <c r="P8" s="21" t="n">
        <v>46205</v>
      </c>
      <c r="Q8" s="22" t="n">
        <f aca="false">IF(P8="","",'Read me'!$B$3-P8)</f>
        <v>95</v>
      </c>
      <c r="R8" s="17"/>
    </row>
    <row r="9" customFormat="false" ht="28.5" hidden="false" customHeight="true" outlineLevel="0" collapsed="false">
      <c r="A9" s="17" t="n">
        <v>5</v>
      </c>
      <c r="B9" s="17" t="s">
        <v>241</v>
      </c>
      <c r="C9" s="18" t="s">
        <v>242</v>
      </c>
      <c r="D9" s="18" t="s">
        <v>86</v>
      </c>
      <c r="E9" s="17" t="s">
        <v>243</v>
      </c>
      <c r="F9" s="17" t="s">
        <v>132</v>
      </c>
      <c r="G9" s="17" t="s">
        <v>244</v>
      </c>
      <c r="H9" s="19" t="n">
        <v>103</v>
      </c>
      <c r="I9" s="17" t="s">
        <v>47</v>
      </c>
      <c r="J9" s="20" t="n">
        <f aca="false">IF(H9="","",H9*INDEX(FX!$B$5:$B$11,MATCH(I9,FX!$A$5:$A$11,0)))</f>
        <v>20.291</v>
      </c>
      <c r="K9" s="17" t="s">
        <v>245</v>
      </c>
      <c r="L9" s="21" t="n">
        <v>45553</v>
      </c>
      <c r="M9" s="22" t="n">
        <f aca="false">IF(L9="","",'Read me'!$B$3-L9)</f>
        <v>747</v>
      </c>
      <c r="N9" s="23" t="n">
        <v>328</v>
      </c>
      <c r="O9" s="23" t="n">
        <v>16</v>
      </c>
      <c r="P9" s="21" t="n">
        <v>46143</v>
      </c>
      <c r="Q9" s="22" t="n">
        <f aca="false">IF(P9="","",'Read me'!$B$3-P9)</f>
        <v>157</v>
      </c>
      <c r="R9" s="17"/>
    </row>
    <row r="10" customFormat="false" ht="28.5" hidden="false" customHeight="true" outlineLevel="0" collapsed="false">
      <c r="A10" s="17" t="n">
        <v>6</v>
      </c>
      <c r="B10" s="17" t="s">
        <v>246</v>
      </c>
      <c r="C10" s="18" t="s">
        <v>247</v>
      </c>
      <c r="D10" s="18" t="s">
        <v>86</v>
      </c>
      <c r="E10" s="17" t="s">
        <v>248</v>
      </c>
      <c r="F10" s="17" t="s">
        <v>249</v>
      </c>
      <c r="G10" s="17" t="s">
        <v>250</v>
      </c>
      <c r="H10" s="19" t="n">
        <v>136.99</v>
      </c>
      <c r="I10" s="17" t="s">
        <v>47</v>
      </c>
      <c r="J10" s="20" t="n">
        <f aca="false">IF(H10="","",H10*INDEX(FX!$B$5:$B$11,MATCH(I10,FX!$A$5:$A$11,0)))</f>
        <v>26.98703</v>
      </c>
      <c r="K10" s="17" t="s">
        <v>251</v>
      </c>
      <c r="L10" s="21" t="n">
        <v>46087</v>
      </c>
      <c r="M10" s="22" t="n">
        <f aca="false">IF(L10="","",'Read me'!$B$3-L10)</f>
        <v>213</v>
      </c>
      <c r="N10" s="23" t="n">
        <v>325</v>
      </c>
      <c r="O10" s="23" t="n">
        <v>32</v>
      </c>
      <c r="P10" s="21" t="n">
        <v>46126</v>
      </c>
      <c r="Q10" s="22" t="n">
        <f aca="false">IF(P10="","",'Read me'!$B$3-P10)</f>
        <v>174</v>
      </c>
      <c r="R10" s="17"/>
    </row>
    <row r="11" customFormat="false" ht="54.75" hidden="false" customHeight="true" outlineLevel="0" collapsed="false">
      <c r="A11" s="17" t="n">
        <v>7</v>
      </c>
      <c r="B11" s="17" t="s">
        <v>252</v>
      </c>
      <c r="C11" s="18" t="s">
        <v>253</v>
      </c>
      <c r="D11" s="18" t="s">
        <v>86</v>
      </c>
      <c r="E11" s="17" t="s">
        <v>254</v>
      </c>
      <c r="F11" s="17" t="s">
        <v>255</v>
      </c>
      <c r="G11" s="17" t="s">
        <v>256</v>
      </c>
      <c r="H11" s="19" t="n">
        <v>159.99</v>
      </c>
      <c r="I11" s="17" t="s">
        <v>47</v>
      </c>
      <c r="J11" s="20" t="n">
        <f aca="false">IF(H11="","",H11*INDEX(FX!$B$5:$B$11,MATCH(I11,FX!$A$5:$A$11,0)))</f>
        <v>31.51803</v>
      </c>
      <c r="K11" s="17" t="s">
        <v>257</v>
      </c>
      <c r="L11" s="21" t="n">
        <v>45481</v>
      </c>
      <c r="M11" s="22" t="n">
        <f aca="false">IF(L11="","",'Read me'!$B$3-L11)</f>
        <v>819</v>
      </c>
      <c r="N11" s="23" t="n">
        <v>36</v>
      </c>
      <c r="O11" s="23" t="n">
        <v>11</v>
      </c>
      <c r="P11" s="21" t="n">
        <v>45629</v>
      </c>
      <c r="Q11" s="22" t="n">
        <f aca="false">IF(P11="","",'Read me'!$B$3-P11)</f>
        <v>671</v>
      </c>
      <c r="R11" s="17"/>
    </row>
    <row r="12" customFormat="false" ht="54.75" hidden="false" customHeight="true" outlineLevel="0" collapsed="false">
      <c r="A12" s="17" t="n">
        <v>8</v>
      </c>
      <c r="B12" s="17" t="s">
        <v>258</v>
      </c>
      <c r="C12" s="18" t="s">
        <v>259</v>
      </c>
      <c r="D12" s="18" t="s">
        <v>86</v>
      </c>
      <c r="E12" s="17" t="s">
        <v>260</v>
      </c>
      <c r="F12" s="17" t="s">
        <v>120</v>
      </c>
      <c r="G12" s="17" t="s">
        <v>261</v>
      </c>
      <c r="H12" s="19" t="n">
        <v>57.9</v>
      </c>
      <c r="I12" s="17" t="s">
        <v>47</v>
      </c>
      <c r="J12" s="20" t="n">
        <f aca="false">IF(H12="","",H12*INDEX(FX!$B$5:$B$11,MATCH(I12,FX!$A$5:$A$11,0)))</f>
        <v>11.4063</v>
      </c>
      <c r="K12" s="17" t="s">
        <v>262</v>
      </c>
      <c r="L12" s="21" t="n">
        <v>46270</v>
      </c>
      <c r="M12" s="22" t="n">
        <f aca="false">IF(L12="","",'Read me'!$B$3-L12)</f>
        <v>30</v>
      </c>
      <c r="N12" s="23" t="n">
        <v>27</v>
      </c>
      <c r="O12" s="23" t="n">
        <v>0</v>
      </c>
      <c r="P12" s="21"/>
      <c r="Q12" s="22" t="str">
        <f aca="false">IF(P12="","",'Read me'!$B$3-P12)</f>
        <v/>
      </c>
      <c r="R12" s="17" t="s">
        <v>263</v>
      </c>
    </row>
  </sheetData>
  <hyperlinks>
    <hyperlink ref="C5" r:id="rId1" display="https://www.futunatura.ro"/>
    <hyperlink ref="D5" r:id="rId2" display="Open Ad Library"/>
    <hyperlink ref="C6" r:id="rId3" display="https://www.hairburst.com/ro-ro"/>
    <hyperlink ref="D6" r:id="rId4" display="Open Ad Library"/>
    <hyperlink ref="C7" r:id="rId5" display="https://www.sanatatelatineacasa.ro"/>
    <hyperlink ref="D7" r:id="rId6" display="Open Ad Library"/>
    <hyperlink ref="C8" r:id="rId7" display="https://www.rootfulnutrition.com"/>
    <hyperlink ref="D8" r:id="rId8" display="Open Ad Library"/>
    <hyperlink ref="C9" r:id="rId9" display="https://www.weider.ro"/>
    <hyperlink ref="D9" r:id="rId10" display="Open Ad Library"/>
    <hyperlink ref="C10" r:id="rId11" display="https://nutrizma.ro"/>
    <hyperlink ref="D10" r:id="rId12" display="Open Ad Library"/>
    <hyperlink ref="C11" r:id="rId13" display="https://www.tummytox.ro"/>
    <hyperlink ref="D11" r:id="rId14" display="Open Ad Library"/>
    <hyperlink ref="C12" r:id="rId15" display="https://www.gummy.ro"/>
    <hyperlink ref="D12" r:id="rId16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264</v>
      </c>
    </row>
    <row r="2" customFormat="false" ht="15" hidden="false" customHeight="false" outlineLevel="0" collapsed="false">
      <c r="A2" s="16" t="s">
        <v>217</v>
      </c>
    </row>
    <row r="4" customFormat="false" ht="42" hidden="false" customHeight="true" outlineLevel="0" collapsed="false">
      <c r="A4" s="11" t="s">
        <v>72</v>
      </c>
      <c r="B4" s="11" t="s">
        <v>73</v>
      </c>
      <c r="C4" s="11" t="s">
        <v>5</v>
      </c>
      <c r="D4" s="11" t="s">
        <v>7</v>
      </c>
      <c r="E4" s="11" t="s">
        <v>74</v>
      </c>
      <c r="F4" s="11" t="s">
        <v>75</v>
      </c>
      <c r="G4" s="11" t="s">
        <v>76</v>
      </c>
      <c r="H4" s="11" t="s">
        <v>77</v>
      </c>
      <c r="I4" s="11" t="s">
        <v>43</v>
      </c>
      <c r="J4" s="11" t="s">
        <v>78</v>
      </c>
      <c r="K4" s="11" t="s">
        <v>11</v>
      </c>
      <c r="L4" s="11" t="s">
        <v>79</v>
      </c>
      <c r="M4" s="11" t="s">
        <v>80</v>
      </c>
      <c r="N4" s="11" t="s">
        <v>81</v>
      </c>
      <c r="O4" s="11" t="s">
        <v>17</v>
      </c>
      <c r="P4" s="11" t="s">
        <v>19</v>
      </c>
      <c r="Q4" s="11" t="s">
        <v>82</v>
      </c>
      <c r="R4" s="11" t="s">
        <v>83</v>
      </c>
    </row>
    <row r="5" customFormat="false" ht="42" hidden="false" customHeight="true" outlineLevel="0" collapsed="false">
      <c r="A5" s="17" t="n">
        <v>1</v>
      </c>
      <c r="B5" s="17" t="s">
        <v>265</v>
      </c>
      <c r="C5" s="18" t="s">
        <v>266</v>
      </c>
      <c r="D5" s="18" t="s">
        <v>86</v>
      </c>
      <c r="E5" s="17" t="s">
        <v>161</v>
      </c>
      <c r="F5" s="17" t="s">
        <v>162</v>
      </c>
      <c r="G5" s="17" t="s">
        <v>221</v>
      </c>
      <c r="H5" s="19" t="n">
        <v>14.99</v>
      </c>
      <c r="I5" s="17" t="s">
        <v>45</v>
      </c>
      <c r="J5" s="20" t="n">
        <f aca="false">IF(H5="","",H5*INDEX(FX!$B$5:$B$11,MATCH(I5,FX!$A$5:$A$11,0)))</f>
        <v>14.99</v>
      </c>
      <c r="K5" s="17" t="s">
        <v>267</v>
      </c>
      <c r="L5" s="21" t="n">
        <v>45568</v>
      </c>
      <c r="M5" s="22" t="n">
        <f aca="false">IF(L5="","",'Read me'!$B$3-L5)</f>
        <v>732</v>
      </c>
      <c r="N5" s="23" t="n">
        <v>3378</v>
      </c>
      <c r="O5" s="23" t="n">
        <v>108</v>
      </c>
      <c r="P5" s="21" t="n">
        <v>46193</v>
      </c>
      <c r="Q5" s="22" t="n">
        <f aca="false">IF(P5="","",'Read me'!$B$3-P5)</f>
        <v>107</v>
      </c>
      <c r="R5" s="17"/>
    </row>
    <row r="6" customFormat="false" ht="42" hidden="false" customHeight="true" outlineLevel="0" collapsed="false">
      <c r="A6" s="17" t="n">
        <v>2</v>
      </c>
      <c r="B6" s="17" t="s">
        <v>268</v>
      </c>
      <c r="C6" s="18" t="s">
        <v>269</v>
      </c>
      <c r="D6" s="18" t="s">
        <v>86</v>
      </c>
      <c r="E6" s="17" t="s">
        <v>270</v>
      </c>
      <c r="F6" s="17" t="s">
        <v>271</v>
      </c>
      <c r="G6" s="17" t="s">
        <v>272</v>
      </c>
      <c r="H6" s="19" t="n">
        <v>21.71</v>
      </c>
      <c r="I6" s="17" t="s">
        <v>45</v>
      </c>
      <c r="J6" s="20" t="n">
        <f aca="false">IF(H6="","",H6*INDEX(FX!$B$5:$B$11,MATCH(I6,FX!$A$5:$A$11,0)))</f>
        <v>21.71</v>
      </c>
      <c r="K6" s="17" t="s">
        <v>273</v>
      </c>
      <c r="L6" s="21" t="n">
        <v>45458</v>
      </c>
      <c r="M6" s="22" t="n">
        <f aca="false">IF(L6="","",'Read me'!$B$3-L6)</f>
        <v>842</v>
      </c>
      <c r="N6" s="23" t="n">
        <v>406</v>
      </c>
      <c r="O6" s="23" t="n">
        <v>58</v>
      </c>
      <c r="P6" s="21" t="n">
        <v>46071</v>
      </c>
      <c r="Q6" s="22" t="n">
        <f aca="false">IF(P6="","",'Read me'!$B$3-P6)</f>
        <v>229</v>
      </c>
      <c r="R6" s="17"/>
    </row>
    <row r="7" customFormat="false" ht="54.75" hidden="false" customHeight="true" outlineLevel="0" collapsed="false">
      <c r="A7" s="17" t="n">
        <v>3</v>
      </c>
      <c r="B7" s="17" t="s">
        <v>274</v>
      </c>
      <c r="C7" s="18" t="s">
        <v>275</v>
      </c>
      <c r="D7" s="18" t="s">
        <v>86</v>
      </c>
      <c r="E7" s="17" t="s">
        <v>276</v>
      </c>
      <c r="F7" s="17" t="s">
        <v>277</v>
      </c>
      <c r="G7" s="17"/>
      <c r="H7" s="19"/>
      <c r="I7" s="17" t="s">
        <v>45</v>
      </c>
      <c r="J7" s="20" t="str">
        <f aca="false">IF(H7="","",H7*INDEX(FX!$B$5:$B$11,MATCH(I7,FX!$A$5:$A$11,0)))</f>
        <v/>
      </c>
      <c r="K7" s="17" t="s">
        <v>278</v>
      </c>
      <c r="L7" s="21" t="n">
        <v>45855</v>
      </c>
      <c r="M7" s="22" t="n">
        <f aca="false">IF(L7="","",'Read me'!$B$3-L7)</f>
        <v>445</v>
      </c>
      <c r="N7" s="23" t="n">
        <v>287</v>
      </c>
      <c r="O7" s="23" t="n">
        <v>42</v>
      </c>
      <c r="P7" s="21" t="n">
        <v>46126</v>
      </c>
      <c r="Q7" s="22" t="n">
        <f aca="false">IF(P7="","",'Read me'!$B$3-P7)</f>
        <v>174</v>
      </c>
      <c r="R7" s="17" t="s">
        <v>279</v>
      </c>
    </row>
    <row r="8" customFormat="false" ht="42" hidden="false" customHeight="true" outlineLevel="0" collapsed="false">
      <c r="A8" s="17" t="n">
        <v>4</v>
      </c>
      <c r="B8" s="17" t="s">
        <v>280</v>
      </c>
      <c r="C8" s="18" t="s">
        <v>281</v>
      </c>
      <c r="D8" s="18" t="s">
        <v>86</v>
      </c>
      <c r="E8" s="17" t="s">
        <v>282</v>
      </c>
      <c r="F8" s="17" t="s">
        <v>126</v>
      </c>
      <c r="G8" s="17"/>
      <c r="H8" s="19"/>
      <c r="I8" s="17" t="s">
        <v>45</v>
      </c>
      <c r="J8" s="20" t="str">
        <f aca="false">IF(H8="","",H8*INDEX(FX!$B$5:$B$11,MATCH(I8,FX!$A$5:$A$11,0)))</f>
        <v/>
      </c>
      <c r="K8" s="17" t="s">
        <v>283</v>
      </c>
      <c r="L8" s="21" t="n">
        <v>45308</v>
      </c>
      <c r="M8" s="22" t="n">
        <f aca="false">IF(L8="","",'Read me'!$B$3-L8)</f>
        <v>992</v>
      </c>
      <c r="N8" s="23" t="n">
        <v>163</v>
      </c>
      <c r="O8" s="23" t="n">
        <v>23</v>
      </c>
      <c r="P8" s="21" t="n">
        <v>45308</v>
      </c>
      <c r="Q8" s="22" t="n">
        <f aca="false">IF(P8="","",'Read me'!$B$3-P8)</f>
        <v>992</v>
      </c>
      <c r="R8" s="17" t="s">
        <v>284</v>
      </c>
    </row>
    <row r="9" customFormat="false" ht="42" hidden="false" customHeight="true" outlineLevel="0" collapsed="false">
      <c r="A9" s="17" t="n">
        <v>5</v>
      </c>
      <c r="B9" s="17" t="s">
        <v>285</v>
      </c>
      <c r="C9" s="18" t="s">
        <v>286</v>
      </c>
      <c r="D9" s="18" t="s">
        <v>86</v>
      </c>
      <c r="E9" s="17" t="s">
        <v>287</v>
      </c>
      <c r="F9" s="17" t="s">
        <v>288</v>
      </c>
      <c r="G9" s="17" t="s">
        <v>289</v>
      </c>
      <c r="H9" s="19" t="n">
        <v>7.68</v>
      </c>
      <c r="I9" s="17" t="s">
        <v>45</v>
      </c>
      <c r="J9" s="20" t="n">
        <f aca="false">IF(H9="","",H9*INDEX(FX!$B$5:$B$11,MATCH(I9,FX!$A$5:$A$11,0)))</f>
        <v>7.68</v>
      </c>
      <c r="K9" s="17" t="s">
        <v>290</v>
      </c>
      <c r="L9" s="21" t="n">
        <v>45931</v>
      </c>
      <c r="M9" s="22" t="n">
        <f aca="false">IF(L9="","",'Read me'!$B$3-L9)</f>
        <v>369</v>
      </c>
      <c r="N9" s="23" t="n">
        <v>141</v>
      </c>
      <c r="O9" s="23" t="n">
        <v>8</v>
      </c>
      <c r="P9" s="21" t="n">
        <v>46272</v>
      </c>
      <c r="Q9" s="22" t="n">
        <f aca="false">IF(P9="","",'Read me'!$B$3-P9)</f>
        <v>28</v>
      </c>
      <c r="R9" s="17" t="s">
        <v>291</v>
      </c>
    </row>
    <row r="10" customFormat="false" ht="42" hidden="false" customHeight="true" outlineLevel="0" collapsed="false">
      <c r="A10" s="17" t="n">
        <v>6</v>
      </c>
      <c r="B10" s="17" t="s">
        <v>292</v>
      </c>
      <c r="C10" s="18" t="s">
        <v>293</v>
      </c>
      <c r="D10" s="18" t="s">
        <v>86</v>
      </c>
      <c r="E10" s="17" t="s">
        <v>294</v>
      </c>
      <c r="F10" s="17" t="s">
        <v>271</v>
      </c>
      <c r="G10" s="17" t="s">
        <v>295</v>
      </c>
      <c r="H10" s="19" t="n">
        <v>13.8</v>
      </c>
      <c r="I10" s="17" t="s">
        <v>45</v>
      </c>
      <c r="J10" s="20" t="n">
        <f aca="false">IF(H10="","",H10*INDEX(FX!$B$5:$B$11,MATCH(I10,FX!$A$5:$A$11,0)))</f>
        <v>13.8</v>
      </c>
      <c r="K10" s="17" t="s">
        <v>296</v>
      </c>
      <c r="L10" s="21" t="n">
        <v>45346</v>
      </c>
      <c r="M10" s="22" t="n">
        <f aca="false">IF(L10="","",'Read me'!$B$3-L10)</f>
        <v>954</v>
      </c>
      <c r="N10" s="23" t="n">
        <v>117</v>
      </c>
      <c r="O10" s="23" t="n">
        <v>30</v>
      </c>
      <c r="P10" s="21" t="n">
        <v>45776</v>
      </c>
      <c r="Q10" s="22" t="n">
        <f aca="false">IF(P10="","",'Read me'!$B$3-P10)</f>
        <v>524</v>
      </c>
      <c r="R10" s="17"/>
    </row>
    <row r="11" customFormat="false" ht="42" hidden="false" customHeight="true" outlineLevel="0" collapsed="false">
      <c r="A11" s="17" t="n">
        <v>7</v>
      </c>
      <c r="B11" s="17" t="s">
        <v>297</v>
      </c>
      <c r="C11" s="18" t="s">
        <v>298</v>
      </c>
      <c r="D11" s="18" t="s">
        <v>86</v>
      </c>
      <c r="E11" s="17" t="s">
        <v>299</v>
      </c>
      <c r="F11" s="17" t="s">
        <v>120</v>
      </c>
      <c r="G11" s="17" t="s">
        <v>300</v>
      </c>
      <c r="H11" s="19" t="n">
        <v>13.92</v>
      </c>
      <c r="I11" s="17" t="s">
        <v>45</v>
      </c>
      <c r="J11" s="20" t="n">
        <f aca="false">IF(H11="","",H11*INDEX(FX!$B$5:$B$11,MATCH(I11,FX!$A$5:$A$11,0)))</f>
        <v>13.92</v>
      </c>
      <c r="K11" s="17" t="s">
        <v>301</v>
      </c>
      <c r="L11" s="21" t="n">
        <v>45910</v>
      </c>
      <c r="M11" s="22" t="n">
        <f aca="false">IF(L11="","",'Read me'!$B$3-L11)</f>
        <v>390</v>
      </c>
      <c r="N11" s="23" t="n">
        <v>49</v>
      </c>
      <c r="O11" s="23" t="n">
        <v>11</v>
      </c>
      <c r="P11" s="21" t="n">
        <v>45911</v>
      </c>
      <c r="Q11" s="22" t="n">
        <f aca="false">IF(P11="","",'Read me'!$B$3-P11)</f>
        <v>389</v>
      </c>
      <c r="R11" s="17" t="s">
        <v>302</v>
      </c>
    </row>
    <row r="12" customFormat="false" ht="42" hidden="false" customHeight="true" outlineLevel="0" collapsed="false">
      <c r="A12" s="17" t="n">
        <v>8</v>
      </c>
      <c r="B12" s="17" t="s">
        <v>303</v>
      </c>
      <c r="C12" s="18" t="s">
        <v>304</v>
      </c>
      <c r="D12" s="18" t="s">
        <v>86</v>
      </c>
      <c r="E12" s="17" t="s">
        <v>305</v>
      </c>
      <c r="F12" s="17" t="s">
        <v>149</v>
      </c>
      <c r="G12" s="17" t="s">
        <v>306</v>
      </c>
      <c r="H12" s="19"/>
      <c r="I12" s="17" t="s">
        <v>45</v>
      </c>
      <c r="J12" s="20" t="str">
        <f aca="false">IF(H12="","",H12*INDEX(FX!$B$5:$B$11,MATCH(I12,FX!$A$5:$A$11,0)))</f>
        <v/>
      </c>
      <c r="K12" s="17" t="s">
        <v>307</v>
      </c>
      <c r="L12" s="21" t="n">
        <v>46077</v>
      </c>
      <c r="M12" s="22" t="n">
        <f aca="false">IF(L12="","",'Read me'!$B$3-L12)</f>
        <v>223</v>
      </c>
      <c r="N12" s="23" t="n">
        <v>6</v>
      </c>
      <c r="O12" s="23" t="n">
        <v>5</v>
      </c>
      <c r="P12" s="21" t="n">
        <v>46135</v>
      </c>
      <c r="Q12" s="22" t="n">
        <f aca="false">IF(P12="","",'Read me'!$B$3-P12)</f>
        <v>165</v>
      </c>
      <c r="R12" s="17" t="s">
        <v>308</v>
      </c>
    </row>
  </sheetData>
  <hyperlinks>
    <hyperlink ref="C5" r:id="rId1" display="https://www.futunatura.gr"/>
    <hyperlink ref="D5" r:id="rId2" display="Open Ad Library"/>
    <hyperlink ref="C6" r:id="rId3" display="https://www.vita4you.gr"/>
    <hyperlink ref="D6" r:id="rId4" display="Open Ad Library"/>
    <hyperlink ref="C7" r:id="rId5" display="https://linktr.ee/naturesplusgr"/>
    <hyperlink ref="D7" r:id="rId6" display="Open Ad Library"/>
    <hyperlink ref="C8" r:id="rId7" display="https://www.pharm16.gr"/>
    <hyperlink ref="D8" r:id="rId8" display="Open Ad Library"/>
    <hyperlink ref="C9" r:id="rId9" display="https://www.skroutz.gr/s/25692083/"/>
    <hyperlink ref="D9" r:id="rId10" display="Open Ad Library"/>
    <hyperlink ref="C10" r:id="rId11" display="https://www.pharmaspot.gr"/>
    <hyperlink ref="D10" r:id="rId12" display="Open Ad Library"/>
    <hyperlink ref="C11" r:id="rId13" display="https://www.vican.gr/el/proionta.html?fylo=1223&amp;manufacturer=1246"/>
    <hyperlink ref="D11" r:id="rId14" display="Open Ad Library"/>
    <hyperlink ref="C12" r:id="rId15" display="https://www.herbalist.gr"/>
    <hyperlink ref="D12" r:id="rId16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309</v>
      </c>
    </row>
    <row r="2" customFormat="false" ht="15" hidden="false" customHeight="false" outlineLevel="0" collapsed="false">
      <c r="A2" s="16" t="s">
        <v>310</v>
      </c>
    </row>
    <row r="4" customFormat="false" ht="42" hidden="false" customHeight="true" outlineLevel="0" collapsed="false">
      <c r="A4" s="11" t="s">
        <v>72</v>
      </c>
      <c r="B4" s="11" t="s">
        <v>73</v>
      </c>
      <c r="C4" s="11" t="s">
        <v>5</v>
      </c>
      <c r="D4" s="11" t="s">
        <v>7</v>
      </c>
      <c r="E4" s="11" t="s">
        <v>74</v>
      </c>
      <c r="F4" s="11" t="s">
        <v>75</v>
      </c>
      <c r="G4" s="11" t="s">
        <v>76</v>
      </c>
      <c r="H4" s="11" t="s">
        <v>77</v>
      </c>
      <c r="I4" s="11" t="s">
        <v>43</v>
      </c>
      <c r="J4" s="11" t="s">
        <v>78</v>
      </c>
      <c r="K4" s="11" t="s">
        <v>11</v>
      </c>
      <c r="L4" s="11" t="s">
        <v>79</v>
      </c>
      <c r="M4" s="11" t="s">
        <v>80</v>
      </c>
      <c r="N4" s="11" t="s">
        <v>81</v>
      </c>
      <c r="O4" s="11" t="s">
        <v>17</v>
      </c>
      <c r="P4" s="11" t="s">
        <v>19</v>
      </c>
      <c r="Q4" s="11" t="s">
        <v>82</v>
      </c>
      <c r="R4" s="11" t="s">
        <v>83</v>
      </c>
    </row>
    <row r="5" customFormat="false" ht="42" hidden="false" customHeight="true" outlineLevel="0" collapsed="false">
      <c r="A5" s="17" t="n">
        <v>1</v>
      </c>
      <c r="B5" s="17" t="s">
        <v>311</v>
      </c>
      <c r="C5" s="18" t="s">
        <v>312</v>
      </c>
      <c r="D5" s="18" t="s">
        <v>86</v>
      </c>
      <c r="E5" s="17" t="s">
        <v>313</v>
      </c>
      <c r="F5" s="17" t="s">
        <v>132</v>
      </c>
      <c r="G5" s="17" t="s">
        <v>314</v>
      </c>
      <c r="H5" s="19" t="n">
        <v>39.9</v>
      </c>
      <c r="I5" s="17" t="s">
        <v>45</v>
      </c>
      <c r="J5" s="20" t="n">
        <f aca="false">IF(H5="","",H5*INDEX(FX!$B$5:$B$11,MATCH(I5,FX!$A$5:$A$11,0)))</f>
        <v>39.9</v>
      </c>
      <c r="K5" s="17" t="s">
        <v>315</v>
      </c>
      <c r="L5" s="21" t="n">
        <v>45572</v>
      </c>
      <c r="M5" s="22" t="n">
        <f aca="false">IF(L5="","",'Read me'!$B$3-L5)</f>
        <v>728</v>
      </c>
      <c r="N5" s="23" t="n">
        <v>12015</v>
      </c>
      <c r="O5" s="23" t="n">
        <v>794</v>
      </c>
      <c r="P5" s="21" t="n">
        <v>46083</v>
      </c>
      <c r="Q5" s="22" t="n">
        <f aca="false">IF(P5="","",'Read me'!$B$3-P5)</f>
        <v>217</v>
      </c>
      <c r="R5" s="17"/>
    </row>
    <row r="6" customFormat="false" ht="42" hidden="false" customHeight="true" outlineLevel="0" collapsed="false">
      <c r="A6" s="17" t="n">
        <v>2</v>
      </c>
      <c r="B6" s="17" t="s">
        <v>316</v>
      </c>
      <c r="C6" s="18" t="s">
        <v>317</v>
      </c>
      <c r="D6" s="18" t="s">
        <v>86</v>
      </c>
      <c r="E6" s="17" t="s">
        <v>318</v>
      </c>
      <c r="F6" s="17" t="s">
        <v>126</v>
      </c>
      <c r="G6" s="17" t="s">
        <v>319</v>
      </c>
      <c r="H6" s="19" t="n">
        <v>24.99</v>
      </c>
      <c r="I6" s="17" t="s">
        <v>45</v>
      </c>
      <c r="J6" s="20" t="n">
        <f aca="false">IF(H6="","",H6*INDEX(FX!$B$5:$B$11,MATCH(I6,FX!$A$5:$A$11,0)))</f>
        <v>24.99</v>
      </c>
      <c r="K6" s="17" t="s">
        <v>320</v>
      </c>
      <c r="L6" s="21" t="n">
        <v>45370</v>
      </c>
      <c r="M6" s="22" t="n">
        <f aca="false">IF(L6="","",'Read me'!$B$3-L6)</f>
        <v>930</v>
      </c>
      <c r="N6" s="23" t="n">
        <v>2114</v>
      </c>
      <c r="O6" s="23" t="n">
        <v>177</v>
      </c>
      <c r="P6" s="21" t="n">
        <v>46128</v>
      </c>
      <c r="Q6" s="22" t="n">
        <f aca="false">IF(P6="","",'Read me'!$B$3-P6)</f>
        <v>172</v>
      </c>
      <c r="R6" s="17"/>
    </row>
    <row r="7" customFormat="false" ht="28.5" hidden="false" customHeight="true" outlineLevel="0" collapsed="false">
      <c r="A7" s="17" t="n">
        <v>3</v>
      </c>
      <c r="B7" s="17" t="s">
        <v>321</v>
      </c>
      <c r="C7" s="18" t="s">
        <v>322</v>
      </c>
      <c r="D7" s="18" t="s">
        <v>86</v>
      </c>
      <c r="E7" s="17" t="s">
        <v>323</v>
      </c>
      <c r="F7" s="17" t="s">
        <v>324</v>
      </c>
      <c r="G7" s="17" t="s">
        <v>325</v>
      </c>
      <c r="H7" s="19" t="n">
        <v>11.98</v>
      </c>
      <c r="I7" s="17" t="s">
        <v>45</v>
      </c>
      <c r="J7" s="20" t="n">
        <f aca="false">IF(H7="","",H7*INDEX(FX!$B$5:$B$11,MATCH(I7,FX!$A$5:$A$11,0)))</f>
        <v>11.98</v>
      </c>
      <c r="K7" s="17" t="s">
        <v>326</v>
      </c>
      <c r="L7" s="21" t="n">
        <v>43941</v>
      </c>
      <c r="M7" s="22" t="n">
        <f aca="false">IF(L7="","",'Read me'!$B$3-L7)</f>
        <v>2359</v>
      </c>
      <c r="N7" s="23" t="n">
        <v>2069</v>
      </c>
      <c r="O7" s="23" t="n">
        <v>115</v>
      </c>
      <c r="P7" s="21" t="n">
        <v>46155</v>
      </c>
      <c r="Q7" s="22" t="n">
        <f aca="false">IF(P7="","",'Read me'!$B$3-P7)</f>
        <v>145</v>
      </c>
      <c r="R7" s="17"/>
    </row>
    <row r="8" customFormat="false" ht="42" hidden="false" customHeight="true" outlineLevel="0" collapsed="false">
      <c r="A8" s="17" t="n">
        <v>4</v>
      </c>
      <c r="B8" s="17" t="s">
        <v>327</v>
      </c>
      <c r="C8" s="18" t="s">
        <v>328</v>
      </c>
      <c r="D8" s="18" t="s">
        <v>86</v>
      </c>
      <c r="E8" s="17" t="s">
        <v>329</v>
      </c>
      <c r="F8" s="17" t="s">
        <v>330</v>
      </c>
      <c r="G8" s="17"/>
      <c r="H8" s="19"/>
      <c r="I8" s="17" t="s">
        <v>45</v>
      </c>
      <c r="J8" s="20" t="str">
        <f aca="false">IF(H8="","",H8*INDEX(FX!$B$5:$B$11,MATCH(I8,FX!$A$5:$A$11,0)))</f>
        <v/>
      </c>
      <c r="K8" s="17" t="s">
        <v>331</v>
      </c>
      <c r="L8" s="21" t="n">
        <v>45193</v>
      </c>
      <c r="M8" s="22" t="n">
        <f aca="false">IF(L8="","",'Read me'!$B$3-L8)</f>
        <v>1107</v>
      </c>
      <c r="N8" s="23" t="n">
        <v>1954</v>
      </c>
      <c r="O8" s="23" t="n">
        <v>260</v>
      </c>
      <c r="P8" s="21" t="n">
        <v>46114</v>
      </c>
      <c r="Q8" s="22" t="n">
        <f aca="false">IF(P8="","",'Read me'!$B$3-P8)</f>
        <v>186</v>
      </c>
      <c r="R8" s="17" t="s">
        <v>332</v>
      </c>
    </row>
    <row r="9" customFormat="false" ht="42" hidden="false" customHeight="true" outlineLevel="0" collapsed="false">
      <c r="A9" s="17" t="n">
        <v>5</v>
      </c>
      <c r="B9" s="17" t="s">
        <v>333</v>
      </c>
      <c r="C9" s="18" t="s">
        <v>334</v>
      </c>
      <c r="D9" s="18" t="s">
        <v>86</v>
      </c>
      <c r="E9" s="17" t="s">
        <v>335</v>
      </c>
      <c r="F9" s="17" t="s">
        <v>226</v>
      </c>
      <c r="G9" s="17" t="s">
        <v>336</v>
      </c>
      <c r="H9" s="19" t="n">
        <v>19.95</v>
      </c>
      <c r="I9" s="17" t="s">
        <v>45</v>
      </c>
      <c r="J9" s="20" t="n">
        <f aca="false">IF(H9="","",H9*INDEX(FX!$B$5:$B$11,MATCH(I9,FX!$A$5:$A$11,0)))</f>
        <v>19.95</v>
      </c>
      <c r="K9" s="17" t="s">
        <v>337</v>
      </c>
      <c r="L9" s="21" t="n">
        <v>45404</v>
      </c>
      <c r="M9" s="22" t="n">
        <f aca="false">IF(L9="","",'Read me'!$B$3-L9)</f>
        <v>896</v>
      </c>
      <c r="N9" s="23" t="n">
        <v>1127</v>
      </c>
      <c r="O9" s="23" t="n">
        <v>187</v>
      </c>
      <c r="P9" s="21" t="n">
        <v>46092</v>
      </c>
      <c r="Q9" s="22" t="n">
        <f aca="false">IF(P9="","",'Read me'!$B$3-P9)</f>
        <v>208</v>
      </c>
      <c r="R9" s="17"/>
    </row>
    <row r="10" customFormat="false" ht="28.5" hidden="false" customHeight="true" outlineLevel="0" collapsed="false">
      <c r="A10" s="17" t="n">
        <v>6</v>
      </c>
      <c r="B10" s="17" t="s">
        <v>338</v>
      </c>
      <c r="C10" s="18" t="s">
        <v>339</v>
      </c>
      <c r="D10" s="18" t="s">
        <v>86</v>
      </c>
      <c r="E10" s="17" t="s">
        <v>340</v>
      </c>
      <c r="F10" s="17" t="s">
        <v>132</v>
      </c>
      <c r="G10" s="17" t="s">
        <v>341</v>
      </c>
      <c r="H10" s="19" t="n">
        <v>23.21</v>
      </c>
      <c r="I10" s="17" t="s">
        <v>45</v>
      </c>
      <c r="J10" s="20" t="n">
        <f aca="false">IF(H10="","",H10*INDEX(FX!$B$5:$B$11,MATCH(I10,FX!$A$5:$A$11,0)))</f>
        <v>23.21</v>
      </c>
      <c r="K10" s="17" t="s">
        <v>342</v>
      </c>
      <c r="L10" s="21" t="n">
        <v>45836</v>
      </c>
      <c r="M10" s="22" t="n">
        <f aca="false">IF(L10="","",'Read me'!$B$3-L10)</f>
        <v>464</v>
      </c>
      <c r="N10" s="23" t="n">
        <v>289</v>
      </c>
      <c r="O10" s="23" t="n">
        <v>48</v>
      </c>
      <c r="P10" s="21" t="n">
        <v>46080</v>
      </c>
      <c r="Q10" s="22" t="n">
        <f aca="false">IF(P10="","",'Read me'!$B$3-P10)</f>
        <v>220</v>
      </c>
      <c r="R10" s="17"/>
    </row>
    <row r="11" customFormat="false" ht="42" hidden="false" customHeight="true" outlineLevel="0" collapsed="false">
      <c r="A11" s="17" t="n">
        <v>7</v>
      </c>
      <c r="B11" s="17" t="s">
        <v>343</v>
      </c>
      <c r="C11" s="18" t="s">
        <v>344</v>
      </c>
      <c r="D11" s="18" t="s">
        <v>86</v>
      </c>
      <c r="E11" s="17" t="s">
        <v>345</v>
      </c>
      <c r="F11" s="17" t="s">
        <v>120</v>
      </c>
      <c r="G11" s="17" t="s">
        <v>346</v>
      </c>
      <c r="H11" s="19" t="n">
        <v>21.93</v>
      </c>
      <c r="I11" s="17" t="s">
        <v>45</v>
      </c>
      <c r="J11" s="20" t="n">
        <f aca="false">IF(H11="","",H11*INDEX(FX!$B$5:$B$11,MATCH(I11,FX!$A$5:$A$11,0)))</f>
        <v>21.93</v>
      </c>
      <c r="K11" s="17" t="s">
        <v>347</v>
      </c>
      <c r="L11" s="21" t="n">
        <v>45940</v>
      </c>
      <c r="M11" s="22" t="n">
        <f aca="false">IF(L11="","",'Read me'!$B$3-L11)</f>
        <v>360</v>
      </c>
      <c r="N11" s="23" t="n">
        <v>66</v>
      </c>
      <c r="O11" s="23" t="n">
        <v>0</v>
      </c>
      <c r="P11" s="21"/>
      <c r="Q11" s="22" t="str">
        <f aca="false">IF(P11="","",'Read me'!$B$3-P11)</f>
        <v/>
      </c>
      <c r="R11" s="17" t="s">
        <v>205</v>
      </c>
    </row>
  </sheetData>
  <hyperlinks>
    <hyperlink ref="C5" r:id="rId1" display="https://goldentree.si"/>
    <hyperlink ref="D5" r:id="rId2" display="Open Ad Library"/>
    <hyperlink ref="C6" r:id="rId3" display="https://www.sensilab.si"/>
    <hyperlink ref="D6" r:id="rId4" display="Open Ad Library"/>
    <hyperlink ref="C7" r:id="rId5" display="https://www.malinca.si"/>
    <hyperlink ref="D7" r:id="rId6" display="Open Ad Library"/>
    <hyperlink ref="C8" r:id="rId7" display="https://www.medex.si"/>
    <hyperlink ref="D8" r:id="rId8" display="Open Ad Library"/>
    <hyperlink ref="C9" r:id="rId9" display="https://www.bloomrobbins.si"/>
    <hyperlink ref="D9" r:id="rId10" display="Open Ad Library"/>
    <hyperlink ref="C10" r:id="rId11" display="https://valens.si"/>
    <hyperlink ref="D10" r:id="rId12" display="Open Ad Library"/>
    <hyperlink ref="C11" r:id="rId13" display="https://lunigumi.si"/>
    <hyperlink ref="D11" r:id="rId14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348</v>
      </c>
    </row>
    <row r="2" customFormat="false" ht="15" hidden="false" customHeight="false" outlineLevel="0" collapsed="false">
      <c r="A2" s="16" t="s">
        <v>349</v>
      </c>
    </row>
    <row r="4" customFormat="false" ht="42" hidden="false" customHeight="true" outlineLevel="0" collapsed="false">
      <c r="A4" s="11" t="s">
        <v>72</v>
      </c>
      <c r="B4" s="11" t="s">
        <v>73</v>
      </c>
      <c r="C4" s="11" t="s">
        <v>5</v>
      </c>
      <c r="D4" s="11" t="s">
        <v>7</v>
      </c>
      <c r="E4" s="11" t="s">
        <v>74</v>
      </c>
      <c r="F4" s="11" t="s">
        <v>75</v>
      </c>
      <c r="G4" s="11" t="s">
        <v>76</v>
      </c>
      <c r="H4" s="11" t="s">
        <v>77</v>
      </c>
      <c r="I4" s="11" t="s">
        <v>43</v>
      </c>
      <c r="J4" s="11" t="s">
        <v>78</v>
      </c>
      <c r="K4" s="11" t="s">
        <v>11</v>
      </c>
      <c r="L4" s="11" t="s">
        <v>79</v>
      </c>
      <c r="M4" s="11" t="s">
        <v>80</v>
      </c>
      <c r="N4" s="11" t="s">
        <v>81</v>
      </c>
      <c r="O4" s="11" t="s">
        <v>17</v>
      </c>
      <c r="P4" s="11" t="s">
        <v>19</v>
      </c>
      <c r="Q4" s="11" t="s">
        <v>82</v>
      </c>
      <c r="R4" s="11" t="s">
        <v>83</v>
      </c>
    </row>
    <row r="5" customFormat="false" ht="42" hidden="false" customHeight="true" outlineLevel="0" collapsed="false">
      <c r="A5" s="17" t="n">
        <v>1</v>
      </c>
      <c r="B5" s="17" t="s">
        <v>350</v>
      </c>
      <c r="C5" s="18" t="s">
        <v>351</v>
      </c>
      <c r="D5" s="18" t="s">
        <v>86</v>
      </c>
      <c r="E5" s="17" t="s">
        <v>352</v>
      </c>
      <c r="F5" s="17" t="s">
        <v>226</v>
      </c>
      <c r="G5" s="17" t="s">
        <v>353</v>
      </c>
      <c r="H5" s="19" t="n">
        <v>29.95</v>
      </c>
      <c r="I5" s="17" t="s">
        <v>45</v>
      </c>
      <c r="J5" s="20" t="n">
        <f aca="false">IF(H5="","",H5*INDEX(FX!$B$5:$B$11,MATCH(I5,FX!$A$5:$A$11,0)))</f>
        <v>29.95</v>
      </c>
      <c r="K5" s="17" t="s">
        <v>354</v>
      </c>
      <c r="L5" s="21" t="n">
        <v>45593</v>
      </c>
      <c r="M5" s="22" t="n">
        <f aca="false">IF(L5="","",'Read me'!$B$3-L5)</f>
        <v>707</v>
      </c>
      <c r="N5" s="23" t="n">
        <v>5905</v>
      </c>
      <c r="O5" s="23" t="n">
        <v>312</v>
      </c>
      <c r="P5" s="21" t="n">
        <v>46148</v>
      </c>
      <c r="Q5" s="22" t="n">
        <f aca="false">IF(P5="","",'Read me'!$B$3-P5)</f>
        <v>152</v>
      </c>
      <c r="R5" s="17" t="s">
        <v>355</v>
      </c>
    </row>
    <row r="6" customFormat="false" ht="42" hidden="false" customHeight="true" outlineLevel="0" collapsed="false">
      <c r="A6" s="17" t="n">
        <v>2</v>
      </c>
      <c r="B6" s="17" t="s">
        <v>356</v>
      </c>
      <c r="C6" s="18" t="s">
        <v>357</v>
      </c>
      <c r="D6" s="18" t="s">
        <v>86</v>
      </c>
      <c r="E6" s="17" t="s">
        <v>358</v>
      </c>
      <c r="F6" s="17" t="s">
        <v>168</v>
      </c>
      <c r="G6" s="17" t="s">
        <v>169</v>
      </c>
      <c r="H6" s="19" t="n">
        <v>7.5</v>
      </c>
      <c r="I6" s="17" t="s">
        <v>45</v>
      </c>
      <c r="J6" s="20" t="n">
        <f aca="false">IF(H6="","",H6*INDEX(FX!$B$5:$B$11,MATCH(I6,FX!$A$5:$A$11,0)))</f>
        <v>7.5</v>
      </c>
      <c r="K6" s="17" t="s">
        <v>359</v>
      </c>
      <c r="L6" s="21" t="n">
        <v>45861</v>
      </c>
      <c r="M6" s="22" t="n">
        <f aca="false">IF(L6="","",'Read me'!$B$3-L6)</f>
        <v>439</v>
      </c>
      <c r="N6" s="23" t="n">
        <v>3387</v>
      </c>
      <c r="O6" s="23" t="n">
        <v>192</v>
      </c>
      <c r="P6" s="21" t="n">
        <v>46022</v>
      </c>
      <c r="Q6" s="22" t="n">
        <f aca="false">IF(P6="","",'Read me'!$B$3-P6)</f>
        <v>278</v>
      </c>
      <c r="R6" s="17"/>
    </row>
    <row r="7" customFormat="false" ht="28.5" hidden="false" customHeight="true" outlineLevel="0" collapsed="false">
      <c r="A7" s="17" t="n">
        <v>3</v>
      </c>
      <c r="B7" s="17" t="s">
        <v>360</v>
      </c>
      <c r="C7" s="18" t="s">
        <v>361</v>
      </c>
      <c r="D7" s="18" t="s">
        <v>86</v>
      </c>
      <c r="E7" s="17" t="s">
        <v>362</v>
      </c>
      <c r="F7" s="17" t="s">
        <v>363</v>
      </c>
      <c r="G7" s="17" t="s">
        <v>364</v>
      </c>
      <c r="H7" s="19" t="n">
        <v>5.84</v>
      </c>
      <c r="I7" s="17" t="s">
        <v>45</v>
      </c>
      <c r="J7" s="20" t="n">
        <f aca="false">IF(H7="","",H7*INDEX(FX!$B$5:$B$11,MATCH(I7,FX!$A$5:$A$11,0)))</f>
        <v>5.84</v>
      </c>
      <c r="K7" s="17" t="s">
        <v>365</v>
      </c>
      <c r="L7" s="21" t="n">
        <v>45405</v>
      </c>
      <c r="M7" s="22" t="n">
        <f aca="false">IF(L7="","",'Read me'!$B$3-L7)</f>
        <v>895</v>
      </c>
      <c r="N7" s="23" t="n">
        <v>1562</v>
      </c>
      <c r="O7" s="23" t="n">
        <v>168</v>
      </c>
      <c r="P7" s="21" t="n">
        <v>45588</v>
      </c>
      <c r="Q7" s="22" t="n">
        <f aca="false">IF(P7="","",'Read me'!$B$3-P7)</f>
        <v>712</v>
      </c>
      <c r="R7" s="17"/>
    </row>
    <row r="8" customFormat="false" ht="42" hidden="false" customHeight="true" outlineLevel="0" collapsed="false">
      <c r="A8" s="17" t="n">
        <v>4</v>
      </c>
      <c r="B8" s="17" t="s">
        <v>366</v>
      </c>
      <c r="C8" s="18" t="s">
        <v>367</v>
      </c>
      <c r="D8" s="18" t="s">
        <v>86</v>
      </c>
      <c r="E8" s="17" t="s">
        <v>368</v>
      </c>
      <c r="F8" s="17" t="s">
        <v>369</v>
      </c>
      <c r="G8" s="17" t="s">
        <v>370</v>
      </c>
      <c r="H8" s="19" t="n">
        <v>32</v>
      </c>
      <c r="I8" s="17" t="s">
        <v>45</v>
      </c>
      <c r="J8" s="20" t="n">
        <f aca="false">IF(H8="","",H8*INDEX(FX!$B$5:$B$11,MATCH(I8,FX!$A$5:$A$11,0)))</f>
        <v>32</v>
      </c>
      <c r="K8" s="17" t="s">
        <v>371</v>
      </c>
      <c r="L8" s="21" t="n">
        <v>45730</v>
      </c>
      <c r="M8" s="22" t="n">
        <f aca="false">IF(L8="","",'Read me'!$B$3-L8)</f>
        <v>570</v>
      </c>
      <c r="N8" s="23" t="n">
        <v>786</v>
      </c>
      <c r="O8" s="23" t="n">
        <v>278</v>
      </c>
      <c r="P8" s="21" t="n">
        <v>45860</v>
      </c>
      <c r="Q8" s="22" t="n">
        <f aca="false">IF(P8="","",'Read me'!$B$3-P8)</f>
        <v>440</v>
      </c>
      <c r="R8" s="17"/>
    </row>
    <row r="9" customFormat="false" ht="42" hidden="false" customHeight="true" outlineLevel="0" collapsed="false">
      <c r="A9" s="17" t="n">
        <v>5</v>
      </c>
      <c r="B9" s="17" t="s">
        <v>372</v>
      </c>
      <c r="C9" s="18" t="s">
        <v>373</v>
      </c>
      <c r="D9" s="18" t="s">
        <v>86</v>
      </c>
      <c r="E9" s="17" t="s">
        <v>374</v>
      </c>
      <c r="F9" s="17" t="s">
        <v>162</v>
      </c>
      <c r="G9" s="17" t="s">
        <v>375</v>
      </c>
      <c r="H9" s="19" t="n">
        <v>14.99</v>
      </c>
      <c r="I9" s="17" t="s">
        <v>45</v>
      </c>
      <c r="J9" s="20" t="n">
        <f aca="false">IF(H9="","",H9*INDEX(FX!$B$5:$B$11,MATCH(I9,FX!$A$5:$A$11,0)))</f>
        <v>14.99</v>
      </c>
      <c r="K9" s="17" t="s">
        <v>376</v>
      </c>
      <c r="L9" s="21" t="n">
        <v>45569</v>
      </c>
      <c r="M9" s="22" t="n">
        <f aca="false">IF(L9="","",'Read me'!$B$3-L9)</f>
        <v>731</v>
      </c>
      <c r="N9" s="23" t="n">
        <v>122</v>
      </c>
      <c r="O9" s="23" t="n">
        <v>25</v>
      </c>
      <c r="P9" s="21" t="n">
        <v>45572</v>
      </c>
      <c r="Q9" s="22" t="n">
        <f aca="false">IF(P9="","",'Read me'!$B$3-P9)</f>
        <v>728</v>
      </c>
      <c r="R9" s="17"/>
    </row>
    <row r="10" customFormat="false" ht="42" hidden="false" customHeight="true" outlineLevel="0" collapsed="false">
      <c r="A10" s="17" t="n">
        <v>6</v>
      </c>
      <c r="B10" s="17" t="s">
        <v>377</v>
      </c>
      <c r="C10" s="18" t="s">
        <v>378</v>
      </c>
      <c r="D10" s="18" t="s">
        <v>86</v>
      </c>
      <c r="E10" s="17" t="s">
        <v>379</v>
      </c>
      <c r="F10" s="17" t="s">
        <v>380</v>
      </c>
      <c r="G10" s="17" t="s">
        <v>381</v>
      </c>
      <c r="H10" s="19" t="n">
        <v>34.99</v>
      </c>
      <c r="I10" s="17" t="s">
        <v>45</v>
      </c>
      <c r="J10" s="20" t="n">
        <f aca="false">IF(H10="","",H10*INDEX(FX!$B$5:$B$11,MATCH(I10,FX!$A$5:$A$11,0)))</f>
        <v>34.99</v>
      </c>
      <c r="K10" s="17" t="s">
        <v>382</v>
      </c>
      <c r="L10" s="21" t="n">
        <v>45349</v>
      </c>
      <c r="M10" s="22" t="n">
        <f aca="false">IF(L10="","",'Read me'!$B$3-L10)</f>
        <v>951</v>
      </c>
      <c r="N10" s="23" t="n">
        <v>47</v>
      </c>
      <c r="O10" s="23" t="n">
        <v>6</v>
      </c>
      <c r="P10" s="21" t="n">
        <v>45351</v>
      </c>
      <c r="Q10" s="22" t="n">
        <f aca="false">IF(P10="","",'Read me'!$B$3-P10)</f>
        <v>949</v>
      </c>
      <c r="R10" s="17"/>
    </row>
  </sheetData>
  <hyperlinks>
    <hyperlink ref="C5" r:id="rId1" display="https://www.bloomrobbins.sk"/>
    <hyperlink ref="D5" r:id="rId2" display="Open Ad Library"/>
    <hyperlink ref="C6" r:id="rId3" display="https://gymbeam.sk"/>
    <hyperlink ref="D6" r:id="rId4" display="Open Ad Library"/>
    <hyperlink ref="C7" r:id="rId5" display="https://www.proteinaco.sk"/>
    <hyperlink ref="D7" r:id="rId6" display="Open Ad Library"/>
    <hyperlink ref="C8" r:id="rId7" display="https://www.zdravysvet.sk"/>
    <hyperlink ref="D8" r:id="rId8" display="Open Ad Library"/>
    <hyperlink ref="C9" r:id="rId9" display="https://www.futunatura.sk"/>
    <hyperlink ref="D9" r:id="rId10" display="Open Ad Library"/>
    <hyperlink ref="C10" r:id="rId11" display="https://www.tummytox.sk"/>
    <hyperlink ref="D10" r:id="rId12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383</v>
      </c>
    </row>
    <row r="2" customFormat="false" ht="15" hidden="false" customHeight="false" outlineLevel="0" collapsed="false">
      <c r="A2" s="16" t="s">
        <v>217</v>
      </c>
    </row>
    <row r="4" customFormat="false" ht="42" hidden="false" customHeight="true" outlineLevel="0" collapsed="false">
      <c r="A4" s="11" t="s">
        <v>72</v>
      </c>
      <c r="B4" s="11" t="s">
        <v>73</v>
      </c>
      <c r="C4" s="11" t="s">
        <v>5</v>
      </c>
      <c r="D4" s="11" t="s">
        <v>7</v>
      </c>
      <c r="E4" s="11" t="s">
        <v>74</v>
      </c>
      <c r="F4" s="11" t="s">
        <v>75</v>
      </c>
      <c r="G4" s="11" t="s">
        <v>76</v>
      </c>
      <c r="H4" s="11" t="s">
        <v>77</v>
      </c>
      <c r="I4" s="11" t="s">
        <v>43</v>
      </c>
      <c r="J4" s="11" t="s">
        <v>78</v>
      </c>
      <c r="K4" s="11" t="s">
        <v>11</v>
      </c>
      <c r="L4" s="11" t="s">
        <v>79</v>
      </c>
      <c r="M4" s="11" t="s">
        <v>80</v>
      </c>
      <c r="N4" s="11" t="s">
        <v>81</v>
      </c>
      <c r="O4" s="11" t="s">
        <v>17</v>
      </c>
      <c r="P4" s="11" t="s">
        <v>19</v>
      </c>
      <c r="Q4" s="11" t="s">
        <v>82</v>
      </c>
      <c r="R4" s="11" t="s">
        <v>83</v>
      </c>
    </row>
    <row r="5" customFormat="false" ht="42" hidden="false" customHeight="true" outlineLevel="0" collapsed="false">
      <c r="A5" s="17" t="n">
        <v>1</v>
      </c>
      <c r="B5" s="17" t="s">
        <v>384</v>
      </c>
      <c r="C5" s="18" t="s">
        <v>385</v>
      </c>
      <c r="D5" s="18" t="s">
        <v>86</v>
      </c>
      <c r="E5" s="17" t="s">
        <v>386</v>
      </c>
      <c r="F5" s="17" t="s">
        <v>149</v>
      </c>
      <c r="G5" s="17" t="s">
        <v>387</v>
      </c>
      <c r="H5" s="19" t="n">
        <v>26.9</v>
      </c>
      <c r="I5" s="17" t="s">
        <v>45</v>
      </c>
      <c r="J5" s="20" t="n">
        <f aca="false">IF(H5="","",H5*INDEX(FX!$B$5:$B$11,MATCH(I5,FX!$A$5:$A$11,0)))</f>
        <v>26.9</v>
      </c>
      <c r="K5" s="17" t="s">
        <v>388</v>
      </c>
      <c r="L5" s="21" t="n">
        <v>45592</v>
      </c>
      <c r="M5" s="22" t="n">
        <f aca="false">IF(L5="","",'Read me'!$B$3-L5)</f>
        <v>708</v>
      </c>
      <c r="N5" s="23" t="n">
        <v>6109</v>
      </c>
      <c r="O5" s="23" t="n">
        <v>247</v>
      </c>
      <c r="P5" s="21" t="n">
        <v>46085</v>
      </c>
      <c r="Q5" s="22" t="n">
        <f aca="false">IF(P5="","",'Read me'!$B$3-P5)</f>
        <v>215</v>
      </c>
      <c r="R5" s="17"/>
    </row>
    <row r="6" customFormat="false" ht="28.5" hidden="false" customHeight="true" outlineLevel="0" collapsed="false">
      <c r="A6" s="17" t="n">
        <v>2</v>
      </c>
      <c r="B6" s="17" t="s">
        <v>389</v>
      </c>
      <c r="C6" s="18" t="s">
        <v>390</v>
      </c>
      <c r="D6" s="18" t="s">
        <v>86</v>
      </c>
      <c r="E6" s="17" t="s">
        <v>391</v>
      </c>
      <c r="F6" s="17" t="s">
        <v>392</v>
      </c>
      <c r="G6" s="17" t="s">
        <v>393</v>
      </c>
      <c r="H6" s="19" t="n">
        <v>27.97</v>
      </c>
      <c r="I6" s="17" t="s">
        <v>45</v>
      </c>
      <c r="J6" s="20" t="n">
        <f aca="false">IF(H6="","",H6*INDEX(FX!$B$5:$B$11,MATCH(I6,FX!$A$5:$A$11,0)))</f>
        <v>27.97</v>
      </c>
      <c r="K6" s="17" t="s">
        <v>394</v>
      </c>
      <c r="L6" s="21" t="n">
        <v>45847</v>
      </c>
      <c r="M6" s="22" t="n">
        <f aca="false">IF(L6="","",'Read me'!$B$3-L6)</f>
        <v>453</v>
      </c>
      <c r="N6" s="23" t="n">
        <v>3985</v>
      </c>
      <c r="O6" s="23" t="n">
        <v>321</v>
      </c>
      <c r="P6" s="21" t="n">
        <v>45892</v>
      </c>
      <c r="Q6" s="22" t="n">
        <f aca="false">IF(P6="","",'Read me'!$B$3-P6)</f>
        <v>408</v>
      </c>
      <c r="R6" s="17"/>
    </row>
    <row r="7" customFormat="false" ht="42" hidden="false" customHeight="true" outlineLevel="0" collapsed="false">
      <c r="A7" s="17" t="n">
        <v>3</v>
      </c>
      <c r="B7" s="17" t="s">
        <v>395</v>
      </c>
      <c r="C7" s="18" t="s">
        <v>396</v>
      </c>
      <c r="D7" s="18" t="s">
        <v>86</v>
      </c>
      <c r="E7" s="17" t="s">
        <v>397</v>
      </c>
      <c r="F7" s="17" t="s">
        <v>330</v>
      </c>
      <c r="G7" s="17" t="s">
        <v>398</v>
      </c>
      <c r="H7" s="19" t="n">
        <v>17.69</v>
      </c>
      <c r="I7" s="17" t="s">
        <v>45</v>
      </c>
      <c r="J7" s="20" t="n">
        <f aca="false">IF(H7="","",H7*INDEX(FX!$B$5:$B$11,MATCH(I7,FX!$A$5:$A$11,0)))</f>
        <v>17.69</v>
      </c>
      <c r="K7" s="17" t="s">
        <v>399</v>
      </c>
      <c r="L7" s="21" t="n">
        <v>45212</v>
      </c>
      <c r="M7" s="22" t="n">
        <f aca="false">IF(L7="","",'Read me'!$B$3-L7)</f>
        <v>1088</v>
      </c>
      <c r="N7" s="23" t="n">
        <v>2251</v>
      </c>
      <c r="O7" s="23" t="n">
        <v>357</v>
      </c>
      <c r="P7" s="21" t="n">
        <v>46114</v>
      </c>
      <c r="Q7" s="22" t="n">
        <f aca="false">IF(P7="","",'Read me'!$B$3-P7)</f>
        <v>186</v>
      </c>
      <c r="R7" s="17"/>
    </row>
    <row r="8" customFormat="false" ht="42" hidden="false" customHeight="true" outlineLevel="0" collapsed="false">
      <c r="A8" s="17" t="n">
        <v>4</v>
      </c>
      <c r="B8" s="17" t="s">
        <v>400</v>
      </c>
      <c r="C8" s="18" t="s">
        <v>401</v>
      </c>
      <c r="D8" s="18" t="s">
        <v>86</v>
      </c>
      <c r="E8" s="17" t="s">
        <v>402</v>
      </c>
      <c r="F8" s="17" t="s">
        <v>126</v>
      </c>
      <c r="G8" s="17" t="s">
        <v>403</v>
      </c>
      <c r="H8" s="19" t="n">
        <v>18.99</v>
      </c>
      <c r="I8" s="17" t="s">
        <v>45</v>
      </c>
      <c r="J8" s="20" t="n">
        <f aca="false">IF(H8="","",H8*INDEX(FX!$B$5:$B$11,MATCH(I8,FX!$A$5:$A$11,0)))</f>
        <v>18.99</v>
      </c>
      <c r="K8" s="17" t="s">
        <v>404</v>
      </c>
      <c r="L8" s="21" t="n">
        <v>45433</v>
      </c>
      <c r="M8" s="22" t="n">
        <f aca="false">IF(L8="","",'Read me'!$B$3-L8)</f>
        <v>867</v>
      </c>
      <c r="N8" s="23" t="n">
        <v>1940</v>
      </c>
      <c r="O8" s="23" t="n">
        <v>159</v>
      </c>
      <c r="P8" s="21" t="n">
        <v>46104</v>
      </c>
      <c r="Q8" s="22" t="n">
        <f aca="false">IF(P8="","",'Read me'!$B$3-P8)</f>
        <v>196</v>
      </c>
      <c r="R8" s="17"/>
    </row>
    <row r="9" customFormat="false" ht="28.5" hidden="false" customHeight="true" outlineLevel="0" collapsed="false">
      <c r="A9" s="17" t="n">
        <v>5</v>
      </c>
      <c r="B9" s="17" t="s">
        <v>405</v>
      </c>
      <c r="C9" s="18" t="s">
        <v>406</v>
      </c>
      <c r="D9" s="18" t="s">
        <v>86</v>
      </c>
      <c r="E9" s="17" t="s">
        <v>407</v>
      </c>
      <c r="F9" s="17" t="s">
        <v>324</v>
      </c>
      <c r="G9" s="17" t="s">
        <v>408</v>
      </c>
      <c r="H9" s="19" t="n">
        <v>13.78</v>
      </c>
      <c r="I9" s="17" t="s">
        <v>45</v>
      </c>
      <c r="J9" s="20" t="n">
        <f aca="false">IF(H9="","",H9*INDEX(FX!$B$5:$B$11,MATCH(I9,FX!$A$5:$A$11,0)))</f>
        <v>13.78</v>
      </c>
      <c r="K9" s="17" t="s">
        <v>409</v>
      </c>
      <c r="L9" s="21" t="n">
        <v>45155</v>
      </c>
      <c r="M9" s="22" t="n">
        <f aca="false">IF(L9="","",'Read me'!$B$3-L9)</f>
        <v>1145</v>
      </c>
      <c r="N9" s="23" t="n">
        <v>1043</v>
      </c>
      <c r="O9" s="23" t="n">
        <v>40</v>
      </c>
      <c r="P9" s="21" t="n">
        <v>46155</v>
      </c>
      <c r="Q9" s="22" t="n">
        <f aca="false">IF(P9="","",'Read me'!$B$3-P9)</f>
        <v>145</v>
      </c>
      <c r="R9" s="17"/>
    </row>
    <row r="10" customFormat="false" ht="42" hidden="false" customHeight="true" outlineLevel="0" collapsed="false">
      <c r="A10" s="17" t="n">
        <v>6</v>
      </c>
      <c r="B10" s="17" t="s">
        <v>410</v>
      </c>
      <c r="C10" s="18" t="s">
        <v>411</v>
      </c>
      <c r="D10" s="18" t="s">
        <v>86</v>
      </c>
      <c r="E10" s="17" t="s">
        <v>412</v>
      </c>
      <c r="F10" s="17" t="s">
        <v>120</v>
      </c>
      <c r="G10" s="17" t="s">
        <v>413</v>
      </c>
      <c r="H10" s="19" t="n">
        <v>2190</v>
      </c>
      <c r="I10" s="17" t="s">
        <v>51</v>
      </c>
      <c r="J10" s="20" t="n">
        <f aca="false">IF(H10="","",H10*INDEX(FX!$B$5:$B$11,MATCH(I10,FX!$A$5:$A$11,0)))</f>
        <v>18.6807</v>
      </c>
      <c r="K10" s="17" t="s">
        <v>414</v>
      </c>
      <c r="L10" s="21" t="n">
        <v>45966</v>
      </c>
      <c r="M10" s="22" t="n">
        <f aca="false">IF(L10="","",'Read me'!$B$3-L10)</f>
        <v>334</v>
      </c>
      <c r="N10" s="23" t="n">
        <v>507</v>
      </c>
      <c r="O10" s="23" t="n">
        <v>177</v>
      </c>
      <c r="P10" s="21" t="n">
        <v>46260</v>
      </c>
      <c r="Q10" s="22" t="n">
        <f aca="false">IF(P10="","",'Read me'!$B$3-P10)</f>
        <v>40</v>
      </c>
      <c r="R10" s="17" t="s">
        <v>415</v>
      </c>
    </row>
    <row r="11" customFormat="false" ht="42" hidden="false" customHeight="true" outlineLevel="0" collapsed="false">
      <c r="A11" s="17" t="n">
        <v>7</v>
      </c>
      <c r="B11" s="17" t="s">
        <v>416</v>
      </c>
      <c r="C11" s="18" t="s">
        <v>417</v>
      </c>
      <c r="D11" s="18" t="s">
        <v>86</v>
      </c>
      <c r="E11" s="17" t="s">
        <v>418</v>
      </c>
      <c r="F11" s="17" t="s">
        <v>162</v>
      </c>
      <c r="G11" s="17" t="s">
        <v>419</v>
      </c>
      <c r="H11" s="19" t="n">
        <v>11.99</v>
      </c>
      <c r="I11" s="17" t="s">
        <v>45</v>
      </c>
      <c r="J11" s="20" t="n">
        <f aca="false">IF(H11="","",H11*INDEX(FX!$B$5:$B$11,MATCH(I11,FX!$A$5:$A$11,0)))</f>
        <v>11.99</v>
      </c>
      <c r="K11" s="17" t="s">
        <v>420</v>
      </c>
      <c r="L11" s="21" t="n">
        <v>45595</v>
      </c>
      <c r="M11" s="22" t="n">
        <f aca="false">IF(L11="","",'Read me'!$B$3-L11)</f>
        <v>705</v>
      </c>
      <c r="N11" s="23" t="n">
        <v>139</v>
      </c>
      <c r="O11" s="23" t="n">
        <v>74</v>
      </c>
      <c r="P11" s="21" t="n">
        <v>45595</v>
      </c>
      <c r="Q11" s="22" t="n">
        <f aca="false">IF(P11="","",'Read me'!$B$3-P11)</f>
        <v>705</v>
      </c>
      <c r="R11" s="17"/>
    </row>
    <row r="12" customFormat="false" ht="28.5" hidden="false" customHeight="true" outlineLevel="0" collapsed="false">
      <c r="A12" s="17" t="n">
        <v>8</v>
      </c>
      <c r="B12" s="17" t="s">
        <v>421</v>
      </c>
      <c r="C12" s="18" t="s">
        <v>422</v>
      </c>
      <c r="D12" s="18" t="s">
        <v>86</v>
      </c>
      <c r="E12" s="17" t="s">
        <v>423</v>
      </c>
      <c r="F12" s="17" t="s">
        <v>424</v>
      </c>
      <c r="G12" s="17" t="s">
        <v>425</v>
      </c>
      <c r="H12" s="19" t="n">
        <v>23.9</v>
      </c>
      <c r="I12" s="17" t="s">
        <v>45</v>
      </c>
      <c r="J12" s="20" t="n">
        <f aca="false">IF(H12="","",H12*INDEX(FX!$B$5:$B$11,MATCH(I12,FX!$A$5:$A$11,0)))</f>
        <v>23.9</v>
      </c>
      <c r="K12" s="17" t="s">
        <v>426</v>
      </c>
      <c r="L12" s="21" t="n">
        <v>45631</v>
      </c>
      <c r="M12" s="22" t="n">
        <f aca="false">IF(L12="","",'Read me'!$B$3-L12)</f>
        <v>669</v>
      </c>
      <c r="N12" s="23" t="n">
        <v>80</v>
      </c>
      <c r="O12" s="23" t="n">
        <v>3</v>
      </c>
      <c r="P12" s="21" t="n">
        <v>46256</v>
      </c>
      <c r="Q12" s="22" t="n">
        <f aca="false">IF(P12="","",'Read me'!$B$3-P12)</f>
        <v>44</v>
      </c>
      <c r="R12" s="17"/>
    </row>
  </sheetData>
  <hyperlinks>
    <hyperlink ref="C5" r:id="rId1" display="https://zdravlje.carniumbotanicals.hr"/>
    <hyperlink ref="D5" r:id="rId2" display="Open Ad Library"/>
    <hyperlink ref="C6" r:id="rId3" display="https://sensefit.shop"/>
    <hyperlink ref="D6" r:id="rId4" display="Open Ad Library"/>
    <hyperlink ref="C7" r:id="rId5" display="https://www.medexlife.hr"/>
    <hyperlink ref="D7" r:id="rId6" display="Open Ad Library"/>
    <hyperlink ref="C8" r:id="rId7" display="https://www.sensilab.hr"/>
    <hyperlink ref="D8" r:id="rId8" display="Open Ad Library"/>
    <hyperlink ref="C9" r:id="rId9" display="https://www.malinca.hr"/>
    <hyperlink ref="D9" r:id="rId10" display="Open Ad Library"/>
    <hyperlink ref="C10" r:id="rId11" display="https://redogummies.com"/>
    <hyperlink ref="D10" r:id="rId12" display="Open Ad Library"/>
    <hyperlink ref="C11" r:id="rId13" display="https://www.futunatura.hr"/>
    <hyperlink ref="D11" r:id="rId14" display="Open Ad Library"/>
    <hyperlink ref="C12" r:id="rId15" display="https://vitamincic.com"/>
    <hyperlink ref="D12" r:id="rId16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427</v>
      </c>
    </row>
    <row r="2" customFormat="false" ht="15" hidden="false" customHeight="false" outlineLevel="0" collapsed="false">
      <c r="A2" s="16" t="s">
        <v>217</v>
      </c>
    </row>
    <row r="4" customFormat="false" ht="42" hidden="false" customHeight="true" outlineLevel="0" collapsed="false">
      <c r="A4" s="11" t="s">
        <v>72</v>
      </c>
      <c r="B4" s="11" t="s">
        <v>73</v>
      </c>
      <c r="C4" s="11" t="s">
        <v>5</v>
      </c>
      <c r="D4" s="11" t="s">
        <v>7</v>
      </c>
      <c r="E4" s="11" t="s">
        <v>74</v>
      </c>
      <c r="F4" s="11" t="s">
        <v>75</v>
      </c>
      <c r="G4" s="11" t="s">
        <v>76</v>
      </c>
      <c r="H4" s="11" t="s">
        <v>77</v>
      </c>
      <c r="I4" s="11" t="s">
        <v>43</v>
      </c>
      <c r="J4" s="11" t="s">
        <v>78</v>
      </c>
      <c r="K4" s="11" t="s">
        <v>11</v>
      </c>
      <c r="L4" s="11" t="s">
        <v>79</v>
      </c>
      <c r="M4" s="11" t="s">
        <v>80</v>
      </c>
      <c r="N4" s="11" t="s">
        <v>81</v>
      </c>
      <c r="O4" s="11" t="s">
        <v>17</v>
      </c>
      <c r="P4" s="11" t="s">
        <v>19</v>
      </c>
      <c r="Q4" s="11" t="s">
        <v>82</v>
      </c>
      <c r="R4" s="11" t="s">
        <v>83</v>
      </c>
    </row>
    <row r="5" customFormat="false" ht="42" hidden="false" customHeight="true" outlineLevel="0" collapsed="false">
      <c r="A5" s="17" t="n">
        <v>1</v>
      </c>
      <c r="B5" s="17" t="s">
        <v>350</v>
      </c>
      <c r="C5" s="18" t="s">
        <v>428</v>
      </c>
      <c r="D5" s="18" t="s">
        <v>86</v>
      </c>
      <c r="E5" s="17" t="s">
        <v>352</v>
      </c>
      <c r="F5" s="17" t="s">
        <v>226</v>
      </c>
      <c r="G5" s="17" t="s">
        <v>353</v>
      </c>
      <c r="H5" s="19" t="n">
        <v>699</v>
      </c>
      <c r="I5" s="17" t="s">
        <v>48</v>
      </c>
      <c r="J5" s="20" t="n">
        <f aca="false">IF(H5="","",H5*INDEX(FX!$B$5:$B$11,MATCH(I5,FX!$A$5:$A$11,0)))</f>
        <v>28.3095</v>
      </c>
      <c r="K5" s="17" t="s">
        <v>429</v>
      </c>
      <c r="L5" s="21" t="n">
        <v>45593</v>
      </c>
      <c r="M5" s="22" t="n">
        <f aca="false">IF(L5="","",'Read me'!$B$3-L5)</f>
        <v>707</v>
      </c>
      <c r="N5" s="23" t="n">
        <v>5905</v>
      </c>
      <c r="O5" s="23" t="n">
        <v>312</v>
      </c>
      <c r="P5" s="21" t="n">
        <v>46148</v>
      </c>
      <c r="Q5" s="22" t="n">
        <f aca="false">IF(P5="","",'Read me'!$B$3-P5)</f>
        <v>152</v>
      </c>
      <c r="R5" s="17" t="s">
        <v>430</v>
      </c>
    </row>
    <row r="6" customFormat="false" ht="42" hidden="false" customHeight="true" outlineLevel="0" collapsed="false">
      <c r="A6" s="17" t="n">
        <v>2</v>
      </c>
      <c r="B6" s="17" t="s">
        <v>431</v>
      </c>
      <c r="C6" s="18" t="s">
        <v>432</v>
      </c>
      <c r="D6" s="18" t="s">
        <v>86</v>
      </c>
      <c r="E6" s="17" t="s">
        <v>433</v>
      </c>
      <c r="F6" s="17" t="s">
        <v>149</v>
      </c>
      <c r="G6" s="17" t="s">
        <v>434</v>
      </c>
      <c r="H6" s="19" t="n">
        <v>594</v>
      </c>
      <c r="I6" s="17" t="s">
        <v>48</v>
      </c>
      <c r="J6" s="20" t="n">
        <f aca="false">IF(H6="","",H6*INDEX(FX!$B$5:$B$11,MATCH(I6,FX!$A$5:$A$11,0)))</f>
        <v>24.057</v>
      </c>
      <c r="K6" s="17" t="s">
        <v>435</v>
      </c>
      <c r="L6" s="21" t="n">
        <v>45196</v>
      </c>
      <c r="M6" s="22" t="n">
        <f aca="false">IF(L6="","",'Read me'!$B$3-L6)</f>
        <v>1104</v>
      </c>
      <c r="N6" s="23" t="n">
        <v>5678</v>
      </c>
      <c r="O6" s="23" t="n">
        <v>355</v>
      </c>
      <c r="P6" s="21" t="n">
        <v>46072</v>
      </c>
      <c r="Q6" s="22" t="n">
        <f aca="false">IF(P6="","",'Read me'!$B$3-P6)</f>
        <v>228</v>
      </c>
      <c r="R6" s="17"/>
    </row>
    <row r="7" customFormat="false" ht="54.75" hidden="false" customHeight="true" outlineLevel="0" collapsed="false">
      <c r="A7" s="17" t="n">
        <v>3</v>
      </c>
      <c r="B7" s="17" t="s">
        <v>436</v>
      </c>
      <c r="C7" s="18" t="s">
        <v>437</v>
      </c>
      <c r="D7" s="18" t="s">
        <v>86</v>
      </c>
      <c r="E7" s="17" t="s">
        <v>438</v>
      </c>
      <c r="F7" s="17" t="s">
        <v>439</v>
      </c>
      <c r="G7" s="17" t="s">
        <v>440</v>
      </c>
      <c r="H7" s="19" t="n">
        <v>17.12</v>
      </c>
      <c r="I7" s="17" t="s">
        <v>45</v>
      </c>
      <c r="J7" s="20" t="n">
        <f aca="false">IF(H7="","",H7*INDEX(FX!$B$5:$B$11,MATCH(I7,FX!$A$5:$A$11,0)))</f>
        <v>17.12</v>
      </c>
      <c r="K7" s="17" t="s">
        <v>441</v>
      </c>
      <c r="L7" s="21" t="n">
        <v>45596</v>
      </c>
      <c r="M7" s="22" t="n">
        <f aca="false">IF(L7="","",'Read me'!$B$3-L7)</f>
        <v>704</v>
      </c>
      <c r="N7" s="23" t="n">
        <v>3292</v>
      </c>
      <c r="O7" s="23" t="n">
        <v>54</v>
      </c>
      <c r="P7" s="21" t="n">
        <v>46134</v>
      </c>
      <c r="Q7" s="22" t="n">
        <f aca="false">IF(P7="","",'Read me'!$B$3-P7)</f>
        <v>166</v>
      </c>
      <c r="R7" s="17" t="s">
        <v>442</v>
      </c>
    </row>
    <row r="8" customFormat="false" ht="42" hidden="false" customHeight="true" outlineLevel="0" collapsed="false">
      <c r="A8" s="17" t="n">
        <v>4</v>
      </c>
      <c r="B8" s="17" t="s">
        <v>443</v>
      </c>
      <c r="C8" s="18" t="s">
        <v>444</v>
      </c>
      <c r="D8" s="18" t="s">
        <v>86</v>
      </c>
      <c r="E8" s="17" t="s">
        <v>445</v>
      </c>
      <c r="F8" s="17" t="s">
        <v>88</v>
      </c>
      <c r="G8" s="17" t="s">
        <v>446</v>
      </c>
      <c r="H8" s="19" t="n">
        <v>199</v>
      </c>
      <c r="I8" s="17" t="s">
        <v>48</v>
      </c>
      <c r="J8" s="20" t="n">
        <f aca="false">IF(H8="","",H8*INDEX(FX!$B$5:$B$11,MATCH(I8,FX!$A$5:$A$11,0)))</f>
        <v>8.0595</v>
      </c>
      <c r="K8" s="17" t="s">
        <v>447</v>
      </c>
      <c r="L8" s="21" t="n">
        <v>45567</v>
      </c>
      <c r="M8" s="22" t="n">
        <f aca="false">IF(L8="","",'Read me'!$B$3-L8)</f>
        <v>733</v>
      </c>
      <c r="N8" s="23" t="n">
        <v>925</v>
      </c>
      <c r="O8" s="23" t="n">
        <v>85</v>
      </c>
      <c r="P8" s="21" t="n">
        <v>46118</v>
      </c>
      <c r="Q8" s="22" t="n">
        <f aca="false">IF(P8="","",'Read me'!$B$3-P8)</f>
        <v>182</v>
      </c>
      <c r="R8" s="17"/>
    </row>
    <row r="9" customFormat="false" ht="28.5" hidden="false" customHeight="true" outlineLevel="0" collapsed="false">
      <c r="A9" s="17" t="n">
        <v>5</v>
      </c>
      <c r="B9" s="17" t="s">
        <v>448</v>
      </c>
      <c r="C9" s="18" t="s">
        <v>449</v>
      </c>
      <c r="D9" s="18" t="s">
        <v>86</v>
      </c>
      <c r="E9" s="17" t="s">
        <v>450</v>
      </c>
      <c r="F9" s="17" t="s">
        <v>451</v>
      </c>
      <c r="G9" s="17" t="s">
        <v>452</v>
      </c>
      <c r="H9" s="19" t="n">
        <v>389</v>
      </c>
      <c r="I9" s="17" t="s">
        <v>48</v>
      </c>
      <c r="J9" s="20" t="n">
        <f aca="false">IF(H9="","",H9*INDEX(FX!$B$5:$B$11,MATCH(I9,FX!$A$5:$A$11,0)))</f>
        <v>15.7545</v>
      </c>
      <c r="K9" s="17" t="s">
        <v>453</v>
      </c>
      <c r="L9" s="21" t="n">
        <v>46147</v>
      </c>
      <c r="M9" s="22" t="n">
        <f aca="false">IF(L9="","",'Read me'!$B$3-L9)</f>
        <v>153</v>
      </c>
      <c r="N9" s="23" t="n">
        <v>833</v>
      </c>
      <c r="O9" s="23" t="n">
        <v>92</v>
      </c>
      <c r="P9" s="21" t="n">
        <v>46202</v>
      </c>
      <c r="Q9" s="22" t="n">
        <f aca="false">IF(P9="","",'Read me'!$B$3-P9)</f>
        <v>98</v>
      </c>
      <c r="R9" s="17"/>
    </row>
    <row r="10" customFormat="false" ht="42" hidden="false" customHeight="true" outlineLevel="0" collapsed="false">
      <c r="A10" s="17" t="n">
        <v>6</v>
      </c>
      <c r="B10" s="17" t="s">
        <v>454</v>
      </c>
      <c r="C10" s="18" t="s">
        <v>455</v>
      </c>
      <c r="D10" s="18" t="s">
        <v>86</v>
      </c>
      <c r="E10" s="17" t="s">
        <v>456</v>
      </c>
      <c r="F10" s="17" t="s">
        <v>149</v>
      </c>
      <c r="G10" s="17" t="s">
        <v>457</v>
      </c>
      <c r="H10" s="19" t="n">
        <v>309</v>
      </c>
      <c r="I10" s="17" t="s">
        <v>48</v>
      </c>
      <c r="J10" s="20" t="n">
        <f aca="false">IF(H10="","",H10*INDEX(FX!$B$5:$B$11,MATCH(I10,FX!$A$5:$A$11,0)))</f>
        <v>12.5145</v>
      </c>
      <c r="K10" s="17" t="s">
        <v>458</v>
      </c>
      <c r="L10" s="21" t="n">
        <v>45366</v>
      </c>
      <c r="M10" s="22" t="n">
        <f aca="false">IF(L10="","",'Read me'!$B$3-L10)</f>
        <v>934</v>
      </c>
      <c r="N10" s="23" t="n">
        <v>743</v>
      </c>
      <c r="O10" s="23" t="n">
        <v>131</v>
      </c>
      <c r="P10" s="21" t="n">
        <v>45953</v>
      </c>
      <c r="Q10" s="22" t="n">
        <f aca="false">IF(P10="","",'Read me'!$B$3-P10)</f>
        <v>347</v>
      </c>
      <c r="R10" s="17"/>
    </row>
    <row r="11" customFormat="false" ht="28.5" hidden="false" customHeight="true" outlineLevel="0" collapsed="false">
      <c r="A11" s="17" t="n">
        <v>7</v>
      </c>
      <c r="B11" s="17" t="s">
        <v>459</v>
      </c>
      <c r="C11" s="18" t="s">
        <v>460</v>
      </c>
      <c r="D11" s="18" t="s">
        <v>86</v>
      </c>
      <c r="E11" s="17" t="s">
        <v>461</v>
      </c>
      <c r="F11" s="17" t="s">
        <v>120</v>
      </c>
      <c r="G11" s="17" t="s">
        <v>462</v>
      </c>
      <c r="H11" s="19" t="n">
        <v>820</v>
      </c>
      <c r="I11" s="17" t="s">
        <v>48</v>
      </c>
      <c r="J11" s="20" t="n">
        <f aca="false">IF(H11="","",H11*INDEX(FX!$B$5:$B$11,MATCH(I11,FX!$A$5:$A$11,0)))</f>
        <v>33.21</v>
      </c>
      <c r="K11" s="17" t="s">
        <v>463</v>
      </c>
      <c r="L11" s="21" t="n">
        <v>45827</v>
      </c>
      <c r="M11" s="22" t="n">
        <f aca="false">IF(L11="","",'Read me'!$B$3-L11)</f>
        <v>473</v>
      </c>
      <c r="N11" s="23" t="n">
        <v>709</v>
      </c>
      <c r="O11" s="23" t="n">
        <v>43</v>
      </c>
      <c r="P11" s="21" t="n">
        <v>46169</v>
      </c>
      <c r="Q11" s="22" t="n">
        <f aca="false">IF(P11="","",'Read me'!$B$3-P11)</f>
        <v>131</v>
      </c>
      <c r="R11" s="17"/>
    </row>
    <row r="12" customFormat="false" ht="42" hidden="false" customHeight="true" outlineLevel="0" collapsed="false">
      <c r="A12" s="17" t="n">
        <v>8</v>
      </c>
      <c r="B12" s="17" t="s">
        <v>464</v>
      </c>
      <c r="C12" s="18" t="s">
        <v>465</v>
      </c>
      <c r="D12" s="18" t="s">
        <v>86</v>
      </c>
      <c r="E12" s="17" t="s">
        <v>466</v>
      </c>
      <c r="F12" s="17" t="s">
        <v>467</v>
      </c>
      <c r="G12" s="17" t="s">
        <v>468</v>
      </c>
      <c r="H12" s="19" t="n">
        <v>390</v>
      </c>
      <c r="I12" s="17" t="s">
        <v>48</v>
      </c>
      <c r="J12" s="20" t="n">
        <f aca="false">IF(H12="","",H12*INDEX(FX!$B$5:$B$11,MATCH(I12,FX!$A$5:$A$11,0)))</f>
        <v>15.795</v>
      </c>
      <c r="K12" s="17" t="s">
        <v>469</v>
      </c>
      <c r="L12" s="21" t="n">
        <v>45118</v>
      </c>
      <c r="M12" s="22" t="n">
        <f aca="false">IF(L12="","",'Read me'!$B$3-L12)</f>
        <v>1182</v>
      </c>
      <c r="N12" s="23" t="n">
        <v>499</v>
      </c>
      <c r="O12" s="23" t="n">
        <v>10</v>
      </c>
      <c r="P12" s="21" t="n">
        <v>46135</v>
      </c>
      <c r="Q12" s="22" t="n">
        <f aca="false">IF(P12="","",'Read me'!$B$3-P12)</f>
        <v>165</v>
      </c>
      <c r="R12" s="17"/>
    </row>
  </sheetData>
  <hyperlinks>
    <hyperlink ref="C5" r:id="rId1" display="https://www.bloomrobbins.cz"/>
    <hyperlink ref="D5" r:id="rId2" display="Open Ad Library"/>
    <hyperlink ref="C6" r:id="rId3" display="https://www.venira.cz"/>
    <hyperlink ref="D6" r:id="rId4" display="Open Ad Library"/>
    <hyperlink ref="C7" r:id="rId5" display="https://www.dafit.cz"/>
    <hyperlink ref="D7" r:id="rId6" display="Open Ad Library"/>
    <hyperlink ref="C8" r:id="rId7" display="https://flow-nutrition.cz"/>
    <hyperlink ref="D8" r:id="rId8" display="Open Ad Library"/>
    <hyperlink ref="C9" r:id="rId9" display="https://www.herbyway.cz"/>
    <hyperlink ref="D9" r:id="rId10" display="Open Ad Library"/>
    <hyperlink ref="C10" r:id="rId11" display="https://www.nutraceutics.cz"/>
    <hyperlink ref="D10" r:id="rId12" display="Open Ad Library"/>
    <hyperlink ref="C11" r:id="rId13" display="https://www.gummylife.cz"/>
    <hyperlink ref="D11" r:id="rId14" display="Open Ad Library"/>
    <hyperlink ref="C12" r:id="rId15" display="https://www.puravia.cz"/>
    <hyperlink ref="D12" r:id="rId16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470</v>
      </c>
    </row>
    <row r="2" customFormat="false" ht="15" hidden="false" customHeight="false" outlineLevel="0" collapsed="false">
      <c r="A2" s="16" t="s">
        <v>217</v>
      </c>
    </row>
    <row r="4" customFormat="false" ht="42" hidden="false" customHeight="true" outlineLevel="0" collapsed="false">
      <c r="A4" s="11" t="s">
        <v>72</v>
      </c>
      <c r="B4" s="11" t="s">
        <v>73</v>
      </c>
      <c r="C4" s="11" t="s">
        <v>5</v>
      </c>
      <c r="D4" s="11" t="s">
        <v>7</v>
      </c>
      <c r="E4" s="11" t="s">
        <v>74</v>
      </c>
      <c r="F4" s="11" t="s">
        <v>75</v>
      </c>
      <c r="G4" s="11" t="s">
        <v>76</v>
      </c>
      <c r="H4" s="11" t="s">
        <v>77</v>
      </c>
      <c r="I4" s="11" t="s">
        <v>43</v>
      </c>
      <c r="J4" s="11" t="s">
        <v>78</v>
      </c>
      <c r="K4" s="11" t="s">
        <v>11</v>
      </c>
      <c r="L4" s="11" t="s">
        <v>79</v>
      </c>
      <c r="M4" s="11" t="s">
        <v>80</v>
      </c>
      <c r="N4" s="11" t="s">
        <v>81</v>
      </c>
      <c r="O4" s="11" t="s">
        <v>17</v>
      </c>
      <c r="P4" s="11" t="s">
        <v>19</v>
      </c>
      <c r="Q4" s="11" t="s">
        <v>82</v>
      </c>
      <c r="R4" s="11" t="s">
        <v>83</v>
      </c>
    </row>
    <row r="5" customFormat="false" ht="42" hidden="false" customHeight="true" outlineLevel="0" collapsed="false">
      <c r="A5" s="17" t="n">
        <v>1</v>
      </c>
      <c r="B5" s="17" t="s">
        <v>471</v>
      </c>
      <c r="C5" s="18" t="s">
        <v>472</v>
      </c>
      <c r="D5" s="18" t="s">
        <v>86</v>
      </c>
      <c r="E5" s="17" t="s">
        <v>473</v>
      </c>
      <c r="F5" s="17" t="s">
        <v>120</v>
      </c>
      <c r="G5" s="17" t="s">
        <v>474</v>
      </c>
      <c r="H5" s="19" t="n">
        <v>13970</v>
      </c>
      <c r="I5" s="17" t="s">
        <v>49</v>
      </c>
      <c r="J5" s="20" t="n">
        <f aca="false">IF(H5="","",H5*INDEX(FX!$B$5:$B$11,MATCH(I5,FX!$A$5:$A$11,0)))</f>
        <v>35.6235</v>
      </c>
      <c r="K5" s="17" t="s">
        <v>475</v>
      </c>
      <c r="L5" s="21" t="n">
        <v>45189</v>
      </c>
      <c r="M5" s="22" t="n">
        <f aca="false">IF(L5="","",'Read me'!$B$3-L5)</f>
        <v>1111</v>
      </c>
      <c r="N5" s="23" t="n">
        <v>905</v>
      </c>
      <c r="O5" s="23" t="n">
        <v>181</v>
      </c>
      <c r="P5" s="21" t="n">
        <v>46141</v>
      </c>
      <c r="Q5" s="22" t="n">
        <f aca="false">IF(P5="","",'Read me'!$B$3-P5)</f>
        <v>159</v>
      </c>
      <c r="R5" s="17"/>
    </row>
    <row r="6" customFormat="false" ht="28.5" hidden="false" customHeight="true" outlineLevel="0" collapsed="false">
      <c r="A6" s="17" t="n">
        <v>2</v>
      </c>
      <c r="B6" s="17" t="s">
        <v>476</v>
      </c>
      <c r="C6" s="18" t="s">
        <v>477</v>
      </c>
      <c r="D6" s="18" t="s">
        <v>86</v>
      </c>
      <c r="E6" s="17" t="s">
        <v>478</v>
      </c>
      <c r="F6" s="17" t="s">
        <v>238</v>
      </c>
      <c r="G6" s="17" t="s">
        <v>479</v>
      </c>
      <c r="H6" s="19" t="n">
        <v>10630</v>
      </c>
      <c r="I6" s="17" t="s">
        <v>49</v>
      </c>
      <c r="J6" s="20" t="n">
        <f aca="false">IF(H6="","",H6*INDEX(FX!$B$5:$B$11,MATCH(I6,FX!$A$5:$A$11,0)))</f>
        <v>27.1065</v>
      </c>
      <c r="K6" s="17" t="s">
        <v>480</v>
      </c>
      <c r="L6" s="21" t="n">
        <v>45856</v>
      </c>
      <c r="M6" s="22" t="n">
        <f aca="false">IF(L6="","",'Read me'!$B$3-L6)</f>
        <v>444</v>
      </c>
      <c r="N6" s="23" t="n">
        <v>876</v>
      </c>
      <c r="O6" s="23" t="n">
        <v>70</v>
      </c>
      <c r="P6" s="21" t="n">
        <v>46246</v>
      </c>
      <c r="Q6" s="22" t="n">
        <f aca="false">IF(P6="","",'Read me'!$B$3-P6)</f>
        <v>54</v>
      </c>
      <c r="R6" s="17"/>
    </row>
    <row r="7" customFormat="false" ht="28.5" hidden="false" customHeight="true" outlineLevel="0" collapsed="false">
      <c r="A7" s="17" t="n">
        <v>3</v>
      </c>
      <c r="B7" s="17" t="s">
        <v>481</v>
      </c>
      <c r="C7" s="18" t="s">
        <v>482</v>
      </c>
      <c r="D7" s="18" t="s">
        <v>86</v>
      </c>
      <c r="E7" s="17" t="s">
        <v>483</v>
      </c>
      <c r="F7" s="17" t="s">
        <v>120</v>
      </c>
      <c r="G7" s="17" t="s">
        <v>484</v>
      </c>
      <c r="H7" s="19" t="n">
        <v>8990</v>
      </c>
      <c r="I7" s="17" t="s">
        <v>49</v>
      </c>
      <c r="J7" s="20" t="n">
        <f aca="false">IF(H7="","",H7*INDEX(FX!$B$5:$B$11,MATCH(I7,FX!$A$5:$A$11,0)))</f>
        <v>22.9245</v>
      </c>
      <c r="K7" s="17" t="s">
        <v>485</v>
      </c>
      <c r="L7" s="21" t="n">
        <v>46227</v>
      </c>
      <c r="M7" s="22" t="n">
        <f aca="false">IF(L7="","",'Read me'!$B$3-L7)</f>
        <v>73</v>
      </c>
      <c r="N7" s="23" t="n">
        <v>319</v>
      </c>
      <c r="O7" s="23" t="n">
        <v>117</v>
      </c>
      <c r="P7" s="21" t="n">
        <v>46267</v>
      </c>
      <c r="Q7" s="22" t="n">
        <f aca="false">IF(P7="","",'Read me'!$B$3-P7)</f>
        <v>33</v>
      </c>
      <c r="R7" s="17"/>
    </row>
    <row r="8" customFormat="false" ht="42" hidden="false" customHeight="true" outlineLevel="0" collapsed="false">
      <c r="A8" s="17" t="n">
        <v>4</v>
      </c>
      <c r="B8" s="17" t="s">
        <v>486</v>
      </c>
      <c r="C8" s="18" t="s">
        <v>487</v>
      </c>
      <c r="D8" s="18" t="s">
        <v>86</v>
      </c>
      <c r="E8" s="17" t="s">
        <v>488</v>
      </c>
      <c r="F8" s="17" t="s">
        <v>120</v>
      </c>
      <c r="G8" s="17" t="s">
        <v>489</v>
      </c>
      <c r="H8" s="19" t="n">
        <v>9990</v>
      </c>
      <c r="I8" s="17" t="s">
        <v>49</v>
      </c>
      <c r="J8" s="20" t="n">
        <f aca="false">IF(H8="","",H8*INDEX(FX!$B$5:$B$11,MATCH(I8,FX!$A$5:$A$11,0)))</f>
        <v>25.4745</v>
      </c>
      <c r="K8" s="17" t="s">
        <v>490</v>
      </c>
      <c r="L8" s="21" t="n">
        <v>46204</v>
      </c>
      <c r="M8" s="22" t="n">
        <f aca="false">IF(L8="","",'Read me'!$B$3-L8)</f>
        <v>96</v>
      </c>
      <c r="N8" s="23" t="n">
        <v>281</v>
      </c>
      <c r="O8" s="23" t="n">
        <v>45</v>
      </c>
      <c r="P8" s="21" t="n">
        <v>46279</v>
      </c>
      <c r="Q8" s="22" t="n">
        <f aca="false">IF(P8="","",'Read me'!$B$3-P8)</f>
        <v>21</v>
      </c>
      <c r="R8" s="17"/>
    </row>
    <row r="9" customFormat="false" ht="42" hidden="false" customHeight="true" outlineLevel="0" collapsed="false">
      <c r="A9" s="17" t="n">
        <v>5</v>
      </c>
      <c r="B9" s="17" t="s">
        <v>491</v>
      </c>
      <c r="C9" s="18" t="s">
        <v>492</v>
      </c>
      <c r="D9" s="18" t="s">
        <v>86</v>
      </c>
      <c r="E9" s="17" t="s">
        <v>493</v>
      </c>
      <c r="F9" s="17" t="s">
        <v>238</v>
      </c>
      <c r="G9" s="17" t="s">
        <v>494</v>
      </c>
      <c r="H9" s="19" t="n">
        <v>6500</v>
      </c>
      <c r="I9" s="17" t="s">
        <v>49</v>
      </c>
      <c r="J9" s="20" t="n">
        <f aca="false">IF(H9="","",H9*INDEX(FX!$B$5:$B$11,MATCH(I9,FX!$A$5:$A$11,0)))</f>
        <v>16.575</v>
      </c>
      <c r="K9" s="17" t="s">
        <v>495</v>
      </c>
      <c r="L9" s="21" t="n">
        <v>45682</v>
      </c>
      <c r="M9" s="22" t="n">
        <f aca="false">IF(L9="","",'Read me'!$B$3-L9)</f>
        <v>618</v>
      </c>
      <c r="N9" s="23" t="n">
        <v>210</v>
      </c>
      <c r="O9" s="23" t="n">
        <v>10</v>
      </c>
      <c r="P9" s="21" t="n">
        <v>46157</v>
      </c>
      <c r="Q9" s="22" t="n">
        <f aca="false">IF(P9="","",'Read me'!$B$3-P9)</f>
        <v>143</v>
      </c>
      <c r="R9" s="17"/>
    </row>
    <row r="10" customFormat="false" ht="28.5" hidden="false" customHeight="true" outlineLevel="0" collapsed="false">
      <c r="A10" s="17" t="n">
        <v>6</v>
      </c>
      <c r="B10" s="17" t="s">
        <v>496</v>
      </c>
      <c r="C10" s="18" t="s">
        <v>497</v>
      </c>
      <c r="D10" s="18" t="s">
        <v>86</v>
      </c>
      <c r="E10" s="17" t="s">
        <v>498</v>
      </c>
      <c r="F10" s="17" t="s">
        <v>324</v>
      </c>
      <c r="G10" s="17"/>
      <c r="H10" s="19"/>
      <c r="I10" s="17" t="s">
        <v>49</v>
      </c>
      <c r="J10" s="20" t="str">
        <f aca="false">IF(H10="","",H10*INDEX(FX!$B$5:$B$11,MATCH(I10,FX!$A$5:$A$11,0)))</f>
        <v/>
      </c>
      <c r="K10" s="17" t="s">
        <v>499</v>
      </c>
      <c r="L10" s="21" t="n">
        <v>45922</v>
      </c>
      <c r="M10" s="22" t="n">
        <f aca="false">IF(L10="","",'Read me'!$B$3-L10)</f>
        <v>378</v>
      </c>
      <c r="N10" s="23" t="n">
        <v>192</v>
      </c>
      <c r="O10" s="23" t="n">
        <v>2</v>
      </c>
      <c r="P10" s="21" t="n">
        <v>46294</v>
      </c>
      <c r="Q10" s="22" t="n">
        <f aca="false">IF(P10="","",'Read me'!$B$3-P10)</f>
        <v>6</v>
      </c>
      <c r="R10" s="17" t="s">
        <v>500</v>
      </c>
    </row>
    <row r="11" customFormat="false" ht="28.5" hidden="false" customHeight="true" outlineLevel="0" collapsed="false">
      <c r="A11" s="17" t="n">
        <v>7</v>
      </c>
      <c r="B11" s="17" t="s">
        <v>501</v>
      </c>
      <c r="C11" s="18" t="s">
        <v>502</v>
      </c>
      <c r="D11" s="18" t="s">
        <v>86</v>
      </c>
      <c r="E11" s="17" t="s">
        <v>503</v>
      </c>
      <c r="F11" s="17" t="s">
        <v>120</v>
      </c>
      <c r="G11" s="17" t="s">
        <v>504</v>
      </c>
      <c r="H11" s="19" t="n">
        <v>8459</v>
      </c>
      <c r="I11" s="17" t="s">
        <v>49</v>
      </c>
      <c r="J11" s="20" t="n">
        <f aca="false">IF(H11="","",H11*INDEX(FX!$B$5:$B$11,MATCH(I11,FX!$A$5:$A$11,0)))</f>
        <v>21.57045</v>
      </c>
      <c r="K11" s="17" t="s">
        <v>505</v>
      </c>
      <c r="L11" s="21" t="n">
        <v>45925</v>
      </c>
      <c r="M11" s="22" t="n">
        <f aca="false">IF(L11="","",'Read me'!$B$3-L11)</f>
        <v>375</v>
      </c>
      <c r="N11" s="23" t="n">
        <v>49</v>
      </c>
      <c r="O11" s="23" t="n">
        <v>2</v>
      </c>
      <c r="P11" s="21" t="n">
        <v>46283</v>
      </c>
      <c r="Q11" s="22" t="n">
        <f aca="false">IF(P11="","",'Read me'!$B$3-P11)</f>
        <v>17</v>
      </c>
      <c r="R11" s="17"/>
    </row>
    <row r="12" customFormat="false" ht="28.5" hidden="false" customHeight="true" outlineLevel="0" collapsed="false">
      <c r="A12" s="17" t="n">
        <v>8</v>
      </c>
      <c r="B12" s="17" t="s">
        <v>506</v>
      </c>
      <c r="C12" s="18" t="s">
        <v>507</v>
      </c>
      <c r="D12" s="18" t="s">
        <v>86</v>
      </c>
      <c r="E12" s="17" t="s">
        <v>508</v>
      </c>
      <c r="F12" s="17" t="s">
        <v>132</v>
      </c>
      <c r="G12" s="17" t="s">
        <v>509</v>
      </c>
      <c r="H12" s="19" t="n">
        <v>990</v>
      </c>
      <c r="I12" s="17" t="s">
        <v>49</v>
      </c>
      <c r="J12" s="20" t="n">
        <f aca="false">IF(H12="","",H12*INDEX(FX!$B$5:$B$11,MATCH(I12,FX!$A$5:$A$11,0)))</f>
        <v>2.5245</v>
      </c>
      <c r="K12" s="17" t="s">
        <v>510</v>
      </c>
      <c r="L12" s="21" t="n">
        <v>44673</v>
      </c>
      <c r="M12" s="22" t="n">
        <f aca="false">IF(L12="","",'Read me'!$B$3-L12)</f>
        <v>1627</v>
      </c>
      <c r="N12" s="23" t="n">
        <v>30</v>
      </c>
      <c r="O12" s="23" t="n">
        <v>4</v>
      </c>
      <c r="P12" s="21" t="n">
        <v>45568</v>
      </c>
      <c r="Q12" s="22" t="n">
        <f aca="false">IF(P12="","",'Read me'!$B$3-P12)</f>
        <v>732</v>
      </c>
      <c r="R12" s="17"/>
    </row>
  </sheetData>
  <hyperlinks>
    <hyperlink ref="C5" r:id="rId1" display="https://termeszetesgumicukor.hu"/>
    <hyperlink ref="D5" r:id="rId2" display="Open Ad Library"/>
    <hyperlink ref="C6" r:id="rId3" display="https://www.hairburst.com/hu-hu"/>
    <hyperlink ref="D6" r:id="rId4" display="Open Ad Library"/>
    <hyperlink ref="C7" r:id="rId5" display="https://shilajitgumivitamin.hu"/>
    <hyperlink ref="D7" r:id="rId6" display="Open Ad Library"/>
    <hyperlink ref="C8" r:id="rId7" display="https://queensritual.hu"/>
    <hyperlink ref="D8" r:id="rId8" display="Open Ad Library"/>
    <hyperlink ref="C9" r:id="rId9" display="https://magichair.hu"/>
    <hyperlink ref="D9" r:id="rId10" display="Open Ad Library"/>
    <hyperlink ref="C10" r:id="rId11" display="https://www.marslakocskak.hu"/>
    <hyperlink ref="D10" r:id="rId12" display="Open Ad Library"/>
    <hyperlink ref="C11" r:id="rId13" display="https://vitaful.hu"/>
    <hyperlink ref="D11" r:id="rId14" display="Open Ad Library"/>
    <hyperlink ref="C12" r:id="rId15" display="https://bioextra.hu"/>
    <hyperlink ref="D12" r:id="rId16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2026-10-05T20:42:37Z</dcterms:created>
  <dc:creator>openpyxl</dc:creator>
  <dc:description/>
  <dc:language>en-US</dc:language>
  <cp:lastModifiedBy/>
  <dcterms:modified xsi:type="dcterms:W3CDTF">2026-10-05T20:42:37Z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